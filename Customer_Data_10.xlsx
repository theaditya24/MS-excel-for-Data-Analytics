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tya raj\Downloads\"/>
    </mc:Choice>
  </mc:AlternateContent>
  <xr:revisionPtr revIDLastSave="0" documentId="8_{9DE18243-FA77-4493-A6BC-748EB245AD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stomer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B27" i="1"/>
  <c r="B26" i="1"/>
  <c r="B22" i="1"/>
  <c r="B25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B24" i="1"/>
  <c r="B23" i="1"/>
  <c r="B21" i="1"/>
  <c r="B20" i="1"/>
  <c r="B19" i="1"/>
  <c r="B18" i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<sst xmlns="http://schemas.openxmlformats.org/spreadsheetml/2006/main" count="64" uniqueCount="53">
  <si>
    <t>Customer_ID</t>
  </si>
  <si>
    <t>Customer_Name</t>
  </si>
  <si>
    <t>City</t>
  </si>
  <si>
    <t>Customer_Type</t>
  </si>
  <si>
    <t>Remarks</t>
  </si>
  <si>
    <t>Amit Sharma</t>
  </si>
  <si>
    <t>Delhi</t>
  </si>
  <si>
    <t>Regular</t>
  </si>
  <si>
    <t>Frequent buyer</t>
  </si>
  <si>
    <t>Priya Verma</t>
  </si>
  <si>
    <t>Mumbai</t>
  </si>
  <si>
    <t>Premium</t>
  </si>
  <si>
    <t>High value</t>
  </si>
  <si>
    <t>Pune</t>
  </si>
  <si>
    <t>Occasional</t>
  </si>
  <si>
    <t>Sneha Kapoor</t>
  </si>
  <si>
    <t>Bangalore</t>
  </si>
  <si>
    <t>Loyal</t>
  </si>
  <si>
    <t>Arjun Singh</t>
  </si>
  <si>
    <t>Chennai</t>
  </si>
  <si>
    <t>New customer</t>
  </si>
  <si>
    <t>Neha Gupta</t>
  </si>
  <si>
    <t>Kolkata</t>
  </si>
  <si>
    <t>Corporate</t>
  </si>
  <si>
    <t>Vikas Jain</t>
  </si>
  <si>
    <t>Hyderabad</t>
  </si>
  <si>
    <t>Discount seeker</t>
  </si>
  <si>
    <t>Bulk orders</t>
  </si>
  <si>
    <t>Rohit Agarwal</t>
  </si>
  <si>
    <t>Walk-in</t>
  </si>
  <si>
    <t>Anjali Das</t>
  </si>
  <si>
    <t>Online only</t>
  </si>
  <si>
    <t>ALL TEXT FUNCTIONS IN MS-EXCEL ARE :-</t>
  </si>
  <si>
    <t>1. LEFT — extract from start</t>
  </si>
  <si>
    <t>2. RIGHT — extract from end</t>
  </si>
  <si>
    <t>3. MID — extract from middle</t>
  </si>
  <si>
    <t>4. LEN — count characters</t>
  </si>
  <si>
    <t>5. UPPER — convert to uppercase</t>
  </si>
  <si>
    <t>6. LOWER — convert to lowercase</t>
  </si>
  <si>
    <t>7. PROPER — capitalize words</t>
  </si>
  <si>
    <t>8. CONCAT — join text</t>
  </si>
  <si>
    <t>9. TEXTJOIN — join multiple columns</t>
  </si>
  <si>
    <t>10. FIND — find position (case sensitive)</t>
  </si>
  <si>
    <t>11. SEARCH — find position (not case sensitive)</t>
  </si>
  <si>
    <t>12. SUBSTITUTE — replace text</t>
  </si>
  <si>
    <t>13. REPLACE — replace by position</t>
  </si>
  <si>
    <t>14. TRIM — remove extra spaces</t>
  </si>
  <si>
    <t>(MID(text,start,length))</t>
  </si>
  <si>
    <t>pooja Nair</t>
  </si>
  <si>
    <t>15. TEXT — format numbers as text</t>
  </si>
  <si>
    <t>Trimmed name</t>
  </si>
  <si>
    <t>First name</t>
  </si>
  <si>
    <t>Ra hu l Me*ht*a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</si>
</sst>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/>
    <xf numFmtId="0" fontId="3" fillId="3" borderId="0" xfId="0" applyFont="1" applyFill="1"/>
    <xf numFmtId="0" fontId="0" fillId="0" borderId="0" xfId="0" applyFont="1"/>
    <xf numFmtId="0" fontId="1" fillId="4" borderId="1" xfId="1" applyFill="1"/>
    <xf numFmtId="0" fontId="2" fillId="2" borderId="0" xfId="2"/>
    <xf numFmtId="0" fontId="4" fillId="2" borderId="0" xfId="2" applyFont="1"/>
    <xf numFmtId="0" fontId="4" fillId="2" borderId="0" xfId="2" applyFont="1" applyAlignment="1">
      <alignment vertical="center"/>
    </xf>
  </cellXfs>
  <cellStyles count="3">
    <cellStyle name="Good" xfId="2" builtinId="26"/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B28" sqref="B28"/>
    </sheetView>
  </sheetViews>
  <sheetFormatPr defaultRowHeight="14.4" x14ac:dyDescent="0.3"/>
  <cols>
    <col min="1" max="1" width="12.5546875" customWidth="1"/>
    <col min="2" max="2" width="32.44140625" customWidth="1"/>
    <col min="3" max="3" width="11.77734375" customWidth="1"/>
    <col min="4" max="4" width="19.109375" customWidth="1"/>
    <col min="5" max="5" width="14.109375" customWidth="1"/>
    <col min="6" max="6" width="14.77734375" customWidth="1"/>
    <col min="12" max="12" width="36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51</v>
      </c>
    </row>
    <row r="2" spans="1:12" x14ac:dyDescent="0.3">
      <c r="A2">
        <v>101</v>
      </c>
      <c r="B2" t="s">
        <v>5</v>
      </c>
      <c r="C2" t="s">
        <v>6</v>
      </c>
      <c r="D2" t="s">
        <v>7</v>
      </c>
      <c r="E2" t="s">
        <v>8</v>
      </c>
      <c r="F2" t="str">
        <f>TRIM(B2)</f>
        <v>Amit Sharma</v>
      </c>
      <c r="G2" t="str">
        <f>LEFT(B2,SEARCH(" ",B2)-1)</f>
        <v>Amit</v>
      </c>
    </row>
    <row r="3" spans="1:12" x14ac:dyDescent="0.3">
      <c r="A3">
        <v>102</v>
      </c>
      <c r="B3" t="s">
        <v>9</v>
      </c>
      <c r="C3" t="s">
        <v>10</v>
      </c>
      <c r="D3" t="s">
        <v>11</v>
      </c>
      <c r="E3" t="s">
        <v>12</v>
      </c>
      <c r="F3" t="str">
        <f t="shared" ref="F3:F11" si="0">TRIM(B3)</f>
        <v>Priya Verma</v>
      </c>
      <c r="G3" t="str">
        <f t="shared" ref="G3:G11" si="1">LEFT(B3,SEARCH(" ",B3)-1)</f>
        <v>Priya</v>
      </c>
    </row>
    <row r="4" spans="1:12" x14ac:dyDescent="0.3">
      <c r="A4">
        <v>103</v>
      </c>
      <c r="B4" t="s">
        <v>52</v>
      </c>
      <c r="C4" t="s">
        <v>13</v>
      </c>
      <c r="D4" t="s">
        <v>7</v>
      </c>
      <c r="E4" t="s">
        <v>14</v>
      </c>
      <c r="F4" t="str">
        <f t="shared" si="0"/>
        <v>Ra hu l Me*ht*a</v>
      </c>
      <c r="G4" t="str">
        <f t="shared" si="1"/>
        <v>Ra</v>
      </c>
    </row>
    <row r="5" spans="1:12" x14ac:dyDescent="0.3">
      <c r="A5">
        <v>104</v>
      </c>
      <c r="B5" t="s">
        <v>15</v>
      </c>
      <c r="C5" t="s">
        <v>16</v>
      </c>
      <c r="D5" t="s">
        <v>11</v>
      </c>
      <c r="E5" t="s">
        <v>17</v>
      </c>
      <c r="F5" t="str">
        <f t="shared" si="0"/>
        <v>Sneha Kapoor</v>
      </c>
      <c r="G5" t="str">
        <f t="shared" si="1"/>
        <v>Sneha</v>
      </c>
    </row>
    <row r="6" spans="1:12" x14ac:dyDescent="0.3">
      <c r="A6">
        <v>105</v>
      </c>
      <c r="B6" t="s">
        <v>18</v>
      </c>
      <c r="C6" t="s">
        <v>19</v>
      </c>
      <c r="D6" t="s">
        <v>7</v>
      </c>
      <c r="E6" t="s">
        <v>20</v>
      </c>
      <c r="F6" t="str">
        <f t="shared" si="0"/>
        <v>Arjun Singh</v>
      </c>
      <c r="G6" t="str">
        <f t="shared" si="1"/>
        <v>Arjun</v>
      </c>
    </row>
    <row r="7" spans="1:12" x14ac:dyDescent="0.3">
      <c r="A7">
        <v>106</v>
      </c>
      <c r="B7" t="s">
        <v>21</v>
      </c>
      <c r="C7" t="s">
        <v>22</v>
      </c>
      <c r="D7" t="s">
        <v>11</v>
      </c>
      <c r="E7" t="s">
        <v>23</v>
      </c>
      <c r="F7" t="str">
        <f t="shared" si="0"/>
        <v>Neha Gupta</v>
      </c>
      <c r="G7" t="str">
        <f t="shared" si="1"/>
        <v>Neha</v>
      </c>
    </row>
    <row r="8" spans="1:12" x14ac:dyDescent="0.3">
      <c r="A8">
        <v>107</v>
      </c>
      <c r="B8" t="s">
        <v>24</v>
      </c>
      <c r="C8" t="s">
        <v>25</v>
      </c>
      <c r="D8" t="s">
        <v>7</v>
      </c>
      <c r="E8" t="s">
        <v>26</v>
      </c>
      <c r="F8" t="str">
        <f t="shared" si="0"/>
        <v>Vikas Jain</v>
      </c>
      <c r="G8" t="str">
        <f t="shared" si="1"/>
        <v>Vikas</v>
      </c>
    </row>
    <row r="9" spans="1:12" x14ac:dyDescent="0.3">
      <c r="A9">
        <v>108</v>
      </c>
      <c r="B9" t="s">
        <v>48</v>
      </c>
      <c r="C9" t="s">
        <v>6</v>
      </c>
      <c r="D9" t="s">
        <v>11</v>
      </c>
      <c r="E9" t="s">
        <v>27</v>
      </c>
      <c r="F9" t="str">
        <f t="shared" si="0"/>
        <v>pooja Nair</v>
      </c>
      <c r="G9" t="str">
        <f t="shared" si="1"/>
        <v>pooja</v>
      </c>
    </row>
    <row r="10" spans="1:12" x14ac:dyDescent="0.3">
      <c r="A10">
        <v>109</v>
      </c>
      <c r="B10" t="s">
        <v>28</v>
      </c>
      <c r="C10" t="s">
        <v>10</v>
      </c>
      <c r="D10" t="s">
        <v>7</v>
      </c>
      <c r="E10" t="s">
        <v>29</v>
      </c>
      <c r="F10" t="str">
        <f t="shared" si="0"/>
        <v>Rohit Agarwal</v>
      </c>
      <c r="G10" t="str">
        <f t="shared" si="1"/>
        <v>Rohit</v>
      </c>
    </row>
    <row r="11" spans="1:12" x14ac:dyDescent="0.3">
      <c r="A11">
        <v>110</v>
      </c>
      <c r="B11" t="s">
        <v>30</v>
      </c>
      <c r="C11" t="s">
        <v>13</v>
      </c>
      <c r="D11" t="s">
        <v>11</v>
      </c>
      <c r="E11" t="s">
        <v>31</v>
      </c>
      <c r="F11" t="str">
        <f t="shared" si="0"/>
        <v>Anjali Das</v>
      </c>
      <c r="G11" t="str">
        <f t="shared" si="1"/>
        <v>Anjali</v>
      </c>
    </row>
    <row r="12" spans="1:12" ht="15" customHeight="1" x14ac:dyDescent="0.3"/>
    <row r="13" spans="1:12" ht="20.399999999999999" thickBot="1" x14ac:dyDescent="0.45">
      <c r="B13" t="str">
        <f xml:space="preserve"> "First Name = " &amp;LEFT(B2,4)</f>
        <v>First Name = Amit</v>
      </c>
      <c r="J13" s="3" t="s">
        <v>32</v>
      </c>
      <c r="K13" s="3"/>
      <c r="L13" s="3"/>
    </row>
    <row r="14" spans="1:12" ht="16.2" thickTop="1" x14ac:dyDescent="0.3">
      <c r="B14" t="str">
        <f xml:space="preserve"> "Last Name = " &amp;RIGHT(B2,6)</f>
        <v>Last Name = Sharma</v>
      </c>
      <c r="J14" s="5" t="s">
        <v>33</v>
      </c>
      <c r="K14" s="5"/>
      <c r="L14" s="5"/>
    </row>
    <row r="15" spans="1:12" ht="15.6" x14ac:dyDescent="0.3">
      <c r="B15" t="str">
        <f xml:space="preserve"> "Length of Name = " &amp;LEN(B2)</f>
        <v>Length of Name = 11</v>
      </c>
      <c r="J15" s="6" t="s">
        <v>34</v>
      </c>
      <c r="K15" s="5"/>
      <c r="L15" s="5"/>
    </row>
    <row r="16" spans="1:12" ht="15.6" x14ac:dyDescent="0.3">
      <c r="B16" t="str">
        <f>"Extract word from anywhere = "&amp;MID(B2,6,6)</f>
        <v>Extract word from anywhere = Sharma</v>
      </c>
      <c r="J16" s="5" t="s">
        <v>35</v>
      </c>
      <c r="K16" s="4" t="s">
        <v>47</v>
      </c>
      <c r="L16" s="4"/>
    </row>
    <row r="17" spans="2:12" ht="15.6" x14ac:dyDescent="0.3">
      <c r="B17" t="str">
        <f xml:space="preserve"> "UPPERCASE = "&amp;UPPER(B2)</f>
        <v>UPPERCASE = AMIT SHARMA</v>
      </c>
      <c r="J17" s="5" t="s">
        <v>36</v>
      </c>
      <c r="K17" s="5"/>
      <c r="L17" s="5"/>
    </row>
    <row r="18" spans="2:12" ht="15.6" x14ac:dyDescent="0.3">
      <c r="B18" t="str">
        <f xml:space="preserve"> "CAPITALISE = " &amp;PROPER(B9)</f>
        <v>CAPITALISE = Pooja Nair</v>
      </c>
      <c r="J18" s="5" t="s">
        <v>37</v>
      </c>
      <c r="K18" s="5"/>
      <c r="L18" s="5"/>
    </row>
    <row r="19" spans="2:12" ht="15.6" x14ac:dyDescent="0.3">
      <c r="B19" t="str">
        <f>_xlfn.CONCAT(B2," - ",C2)</f>
        <v>Amit Sharma - Delhi</v>
      </c>
      <c r="J19" s="5" t="s">
        <v>38</v>
      </c>
      <c r="K19" s="5"/>
      <c r="L19" s="5"/>
    </row>
    <row r="20" spans="2:12" ht="15.6" x14ac:dyDescent="0.3">
      <c r="B20" t="str">
        <f>"TEXT JOIN = "&amp;_xlfn.TEXTJOIN(" | ",TRUE,B2:D2)</f>
        <v>TEXT JOIN = Amit Sharma | Delhi | Regular</v>
      </c>
      <c r="J20" s="5" t="s">
        <v>39</v>
      </c>
      <c r="K20" s="5"/>
      <c r="L20" s="5"/>
    </row>
    <row r="21" spans="2:12" ht="15.6" x14ac:dyDescent="0.3">
      <c r="B21" t="str">
        <f xml:space="preserve"> "Cleaned Name (After trim) = " &amp;TRIM(B2)</f>
        <v>Cleaned Name (After trim) = Amit Sharma</v>
      </c>
      <c r="J21" s="5" t="s">
        <v>40</v>
      </c>
      <c r="K21" s="5"/>
      <c r="L21" s="5"/>
    </row>
    <row r="22" spans="2:12" ht="15.6" x14ac:dyDescent="0.3">
      <c r="B22" t="str">
        <f>"Substitute = "&amp;SUBSTITUTE(C2,"Delhi","New Delhi")</f>
        <v>Substitute = New Delhi</v>
      </c>
      <c r="J22" s="5" t="s">
        <v>41</v>
      </c>
      <c r="K22" s="5"/>
      <c r="L22" s="5"/>
    </row>
    <row r="23" spans="2:12" ht="15.6" x14ac:dyDescent="0.3">
      <c r="B23" t="str">
        <f xml:space="preserve"> "Replace = "&amp;REPLACE(B2,1,4,"Mr.")</f>
        <v>Replace = Mr. Sharma</v>
      </c>
      <c r="E23" s="2"/>
      <c r="J23" s="5" t="s">
        <v>42</v>
      </c>
      <c r="K23" s="5"/>
      <c r="L23" s="5"/>
    </row>
    <row r="24" spans="2:12" ht="15.6" x14ac:dyDescent="0.3">
      <c r="B24" t="str">
        <f xml:space="preserve"> "Format text = " &amp;"ID-" &amp; TEXT(A2,"000")</f>
        <v>Format text = ID-101</v>
      </c>
      <c r="J24" s="5" t="s">
        <v>43</v>
      </c>
      <c r="K24" s="5"/>
      <c r="L24" s="5"/>
    </row>
    <row r="25" spans="2:12" ht="15.6" x14ac:dyDescent="0.3">
      <c r="B25" t="str">
        <f xml:space="preserve"> "Search white space =" &amp; SEARCH(" ",B2)</f>
        <v>Search white space =5</v>
      </c>
      <c r="J25" s="5" t="s">
        <v>44</v>
      </c>
      <c r="K25" s="5"/>
      <c r="L25" s="5"/>
    </row>
    <row r="26" spans="2:12" ht="15.6" x14ac:dyDescent="0.3">
      <c r="B26" t="str">
        <f>"Substitute = "&amp;SUBSTITUTE(SUBSTITUTE(B4,"*","")," ","")</f>
        <v>Substitute = RahulMehta</v>
      </c>
      <c r="J26" s="5" t="s">
        <v>45</v>
      </c>
      <c r="K26" s="5"/>
      <c r="L26" s="5"/>
    </row>
    <row r="27" spans="2:12" ht="15.6" x14ac:dyDescent="0.3">
      <c r="B27" t="str">
        <f>"replace = " &amp; REPLACE("RahulMehta",6,0," ")</f>
        <v>replace = Rahul Mehta</v>
      </c>
      <c r="J27" s="5" t="s">
        <v>46</v>
      </c>
      <c r="K27" s="4"/>
      <c r="L27" s="4"/>
    </row>
    <row r="28" spans="2:12" ht="15.6" x14ac:dyDescent="0.3">
      <c r="B28" t="str">
        <f xml:space="preserve"> "subs and replace = " &amp; REPLACE(SUBSTITUTE(SUBSTITUTE(B4,"*","")," ",""),6,0," ")</f>
        <v>subs and replace = Rahul Mehta</v>
      </c>
      <c r="J28" s="5" t="s">
        <v>49</v>
      </c>
      <c r="K28" s="4"/>
      <c r="L2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E571-8C21-4760-A5A0-FE1FB8BF80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Raj</cp:lastModifiedBy>
  <dcterms:created xsi:type="dcterms:W3CDTF">2026-03-21T07:44:13Z</dcterms:created>
  <dcterms:modified xsi:type="dcterms:W3CDTF">2026-03-21T14:35:08Z</dcterms:modified>
</cp:coreProperties>
</file>