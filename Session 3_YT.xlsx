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"/>
    </mc:Choice>
  </mc:AlternateContent>
  <xr:revisionPtr revIDLastSave="155" documentId="13_ncr:1_{4D822870-CB8A-4853-B376-FC0C959F127F}" xr6:coauthVersionLast="47" xr6:coauthVersionMax="47" xr10:uidLastSave="{F6CE11D8-BD47-4661-A782-5B193EDEB61A}"/>
  <bookViews>
    <workbookView xWindow="-108" yWindow="-108" windowWidth="23256" windowHeight="13896" tabRatio="925" firstSheet="4" activeTab="6" xr2:uid="{00000000-000D-0000-FFFF-FFFF00000000}"/>
  </bookViews>
  <sheets>
    <sheet name="Aggregate Functions" sheetId="27" r:id="rId1"/>
    <sheet name="Text Functions" sheetId="28" r:id="rId2"/>
    <sheet name="Sorting and Filtering" sheetId="29" r:id="rId3"/>
    <sheet name="Logical Operators" sheetId="30" r:id="rId4"/>
    <sheet name="Conditional Formatting" sheetId="18" r:id="rId5"/>
    <sheet name="Vlookup" sheetId="1" r:id="rId6"/>
    <sheet name="Sheet1" sheetId="19" r:id="rId7"/>
    <sheet name="Vlookup2" sheetId="4" r:id="rId8"/>
    <sheet name="hlookup" sheetId="2" r:id="rId9"/>
    <sheet name="Hlookup2" sheetId="5" r:id="rId10"/>
    <sheet name="Xlookup" sheetId="15" r:id="rId11"/>
    <sheet name="Xlookup_cross" sheetId="16" r:id="rId12"/>
    <sheet name="Sumif Countif Averageif" sheetId="31" r:id="rId13"/>
    <sheet name="Q1 PIVOT SHEET" sheetId="32" r:id="rId14"/>
    <sheet name="Q2 PIVOT SHEET" sheetId="33" r:id="rId15"/>
    <sheet name="Q4 PIVOT SHEET" sheetId="34" r:id="rId16"/>
    <sheet name="Q5" sheetId="35" r:id="rId17"/>
    <sheet name="Q6" sheetId="36" r:id="rId18"/>
    <sheet name="Q7" sheetId="37" r:id="rId19"/>
    <sheet name="Q8" sheetId="38" r:id="rId20"/>
    <sheet name="Pivot Data" sheetId="6" r:id="rId21"/>
    <sheet name="Pivot Questions" sheetId="7" r:id="rId22"/>
  </sheets>
  <definedNames>
    <definedName name="_xlnm._FilterDatabase" localSheetId="20" hidden="1">'Pivot Data'!$A$1:$P$1001</definedName>
  </definedNames>
  <calcPr calcId="191029"/>
  <pivotCaches>
    <pivotCache cacheId="14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9" l="1"/>
  <c r="J2" i="19"/>
  <c r="I3" i="19"/>
  <c r="I4" i="19"/>
  <c r="I5" i="19"/>
  <c r="I6" i="19"/>
  <c r="I7" i="19"/>
  <c r="I8" i="19"/>
  <c r="I9" i="19"/>
  <c r="I10" i="19"/>
  <c r="I11" i="19"/>
  <c r="I2" i="19"/>
  <c r="H3" i="19"/>
  <c r="J3" i="19" s="1"/>
  <c r="H4" i="19"/>
  <c r="J4" i="19" s="1"/>
  <c r="H5" i="19"/>
  <c r="J5" i="19" s="1"/>
  <c r="H6" i="19"/>
  <c r="J6" i="19" s="1"/>
  <c r="H7" i="19"/>
  <c r="H8" i="19"/>
  <c r="J8" i="19" s="1"/>
  <c r="H9" i="19"/>
  <c r="J9" i="19" s="1"/>
  <c r="H10" i="19"/>
  <c r="J10" i="19" s="1"/>
  <c r="H11" i="19"/>
  <c r="J11" i="19" s="1"/>
  <c r="H2" i="19"/>
  <c r="C3" i="5"/>
  <c r="C4" i="5"/>
  <c r="C5" i="5"/>
  <c r="C6" i="5"/>
  <c r="C2" i="5"/>
  <c r="B3" i="5"/>
  <c r="B4" i="5"/>
  <c r="B5" i="5"/>
  <c r="B6" i="5"/>
  <c r="B2" i="5"/>
  <c r="E3" i="2"/>
  <c r="E4" i="2"/>
  <c r="E5" i="2"/>
  <c r="E6" i="2"/>
  <c r="E2" i="2"/>
  <c r="D3" i="2"/>
  <c r="D4" i="2"/>
  <c r="D5" i="2"/>
  <c r="D6" i="2"/>
  <c r="D2" i="2"/>
  <c r="E3" i="4"/>
  <c r="E4" i="4"/>
  <c r="E5" i="4"/>
  <c r="E6" i="4"/>
  <c r="E2" i="4"/>
  <c r="K4" i="1" a="1"/>
  <c r="K4" i="1" s="1"/>
  <c r="K5" i="1" a="1"/>
  <c r="K5" i="1" s="1"/>
  <c r="K6" i="1" a="1"/>
  <c r="K6" i="1"/>
  <c r="K7" i="1" a="1"/>
  <c r="K7" i="1" s="1"/>
  <c r="K8" i="1" a="1"/>
  <c r="K8" i="1"/>
  <c r="K9" i="1" a="1"/>
  <c r="K9" i="1"/>
  <c r="K10" i="1" a="1"/>
  <c r="K10" i="1" s="1"/>
  <c r="K11" i="1" a="1"/>
  <c r="K11" i="1"/>
  <c r="K12" i="1" a="1"/>
  <c r="K12" i="1"/>
  <c r="K3" i="1" a="1"/>
  <c r="K3" i="1" s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J11" i="31"/>
  <c r="J10" i="31"/>
  <c r="J9" i="31"/>
  <c r="J8" i="31"/>
  <c r="J7" i="31"/>
  <c r="J6" i="31"/>
  <c r="J5" i="31"/>
  <c r="J4" i="31"/>
  <c r="J3" i="31"/>
  <c r="J2" i="31"/>
  <c r="B3" i="16"/>
  <c r="B4" i="16"/>
  <c r="B2" i="16"/>
  <c r="D3" i="4"/>
  <c r="D4" i="4"/>
  <c r="D5" i="4"/>
  <c r="D6" i="4"/>
  <c r="D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<sst xmlns="http://schemas.openxmlformats.org/spreadsheetml/2006/main" count="641" uniqueCount="251">
  <si>
    <t>Order ID</t>
  </si>
  <si>
    <t>Salesperson</t>
  </si>
  <si>
    <t>Product</t>
  </si>
  <si>
    <t>Region</t>
  </si>
  <si>
    <t>Quantity</t>
  </si>
  <si>
    <t>Unit Price</t>
  </si>
  <si>
    <t>Total Sales</t>
  </si>
  <si>
    <t>ORD001</t>
  </si>
  <si>
    <t>Riya Mehta</t>
  </si>
  <si>
    <t>Laptop</t>
  </si>
  <si>
    <t>North</t>
  </si>
  <si>
    <t>ORD002</t>
  </si>
  <si>
    <t>Aman Shah</t>
  </si>
  <si>
    <t>Mouse</t>
  </si>
  <si>
    <t>South</t>
  </si>
  <si>
    <t>ORD003</t>
  </si>
  <si>
    <t>Neha Patel</t>
  </si>
  <si>
    <t>Mobile</t>
  </si>
  <si>
    <t>East</t>
  </si>
  <si>
    <t>ORD004</t>
  </si>
  <si>
    <t>Karan Desai</t>
  </si>
  <si>
    <t>Headphones</t>
  </si>
  <si>
    <t>West</t>
  </si>
  <si>
    <t>ORD005</t>
  </si>
  <si>
    <t>Monitor</t>
  </si>
  <si>
    <t>ORD006</t>
  </si>
  <si>
    <t>Keyboard</t>
  </si>
  <si>
    <t>ORD007</t>
  </si>
  <si>
    <t>Tablet</t>
  </si>
  <si>
    <t>ORD008</t>
  </si>
  <si>
    <t>ORD009</t>
  </si>
  <si>
    <t>Meera Singh</t>
  </si>
  <si>
    <t>Central</t>
  </si>
  <si>
    <t>ORD010</t>
  </si>
  <si>
    <t>Employee ID</t>
  </si>
  <si>
    <t>Region Code</t>
  </si>
  <si>
    <t>Target</t>
  </si>
  <si>
    <t>EMP101</t>
  </si>
  <si>
    <t>N01</t>
  </si>
  <si>
    <t>EMP102</t>
  </si>
  <si>
    <t>S01</t>
  </si>
  <si>
    <t>EMP103</t>
  </si>
  <si>
    <t>E01</t>
  </si>
  <si>
    <t>EMP104</t>
  </si>
  <si>
    <t>W01</t>
  </si>
  <si>
    <t>EMP105</t>
  </si>
  <si>
    <t>C01</t>
  </si>
  <si>
    <t>Product Sold</t>
  </si>
  <si>
    <t>Price (via HLOOKUP)</t>
  </si>
  <si>
    <t>Total</t>
  </si>
  <si>
    <t>Riya</t>
  </si>
  <si>
    <t>Pen</t>
  </si>
  <si>
    <t>Aman</t>
  </si>
  <si>
    <t>Notebook</t>
  </si>
  <si>
    <t>Neha</t>
  </si>
  <si>
    <t>Scale</t>
  </si>
  <si>
    <t>Karan</t>
  </si>
  <si>
    <t>Pencil</t>
  </si>
  <si>
    <t>Meera</t>
  </si>
  <si>
    <t>Eraser</t>
  </si>
  <si>
    <t>Price</t>
  </si>
  <si>
    <t>Student Name</t>
  </si>
  <si>
    <t>Marks</t>
  </si>
  <si>
    <t>Name</t>
  </si>
  <si>
    <t>Department ID</t>
  </si>
  <si>
    <t>Department Name</t>
  </si>
  <si>
    <t>E001</t>
  </si>
  <si>
    <t>D01</t>
  </si>
  <si>
    <t>E002</t>
  </si>
  <si>
    <t>D02</t>
  </si>
  <si>
    <t>E003</t>
  </si>
  <si>
    <t>D04</t>
  </si>
  <si>
    <t>E004</t>
  </si>
  <si>
    <t>D03</t>
  </si>
  <si>
    <t>E005</t>
  </si>
  <si>
    <t>HR</t>
  </si>
  <si>
    <t>Finance</t>
  </si>
  <si>
    <t>Marketing</t>
  </si>
  <si>
    <t>IT</t>
  </si>
  <si>
    <t>Grade</t>
  </si>
  <si>
    <t>A</t>
  </si>
  <si>
    <t>B</t>
  </si>
  <si>
    <t>A+</t>
  </si>
  <si>
    <t>C</t>
  </si>
  <si>
    <t>D</t>
  </si>
  <si>
    <t>Grade (via HLOOKUP)</t>
  </si>
  <si>
    <t>Salary</t>
  </si>
  <si>
    <t>Student_ID</t>
  </si>
  <si>
    <t>Course</t>
  </si>
  <si>
    <t>Score</t>
  </si>
  <si>
    <t>S101</t>
  </si>
  <si>
    <t>Aditi</t>
  </si>
  <si>
    <t>Data Science</t>
  </si>
  <si>
    <t>S102</t>
  </si>
  <si>
    <t>Rahul</t>
  </si>
  <si>
    <t>AI</t>
  </si>
  <si>
    <t>S103</t>
  </si>
  <si>
    <t>Cybersecurity</t>
  </si>
  <si>
    <t>S104</t>
  </si>
  <si>
    <t>Kunal</t>
  </si>
  <si>
    <t>S105</t>
  </si>
  <si>
    <t>Pooja</t>
  </si>
  <si>
    <t>Ankit</t>
  </si>
  <si>
    <t>Mumbai</t>
  </si>
  <si>
    <t>Pune</t>
  </si>
  <si>
    <t>Delhi</t>
  </si>
  <si>
    <t>Sneha</t>
  </si>
  <si>
    <t>Bangalore</t>
  </si>
  <si>
    <t>Month</t>
  </si>
  <si>
    <t>Units Sold</t>
  </si>
  <si>
    <t>Revenue</t>
  </si>
  <si>
    <t>Jan</t>
  </si>
  <si>
    <t>Vada Pav</t>
  </si>
  <si>
    <t>Feb</t>
  </si>
  <si>
    <t>Samosa</t>
  </si>
  <si>
    <t>Amit</t>
  </si>
  <si>
    <t>Mar</t>
  </si>
  <si>
    <t>Sandwich</t>
  </si>
  <si>
    <t>Apr</t>
  </si>
  <si>
    <t>Coffee</t>
  </si>
  <si>
    <t>May</t>
  </si>
  <si>
    <t>Tea</t>
  </si>
  <si>
    <t>Jun</t>
  </si>
  <si>
    <t>Cold Drink</t>
  </si>
  <si>
    <t>Jul</t>
  </si>
  <si>
    <t>Burger</t>
  </si>
  <si>
    <t>Aug</t>
  </si>
  <si>
    <t>French Fries</t>
  </si>
  <si>
    <t>Sep</t>
  </si>
  <si>
    <t>Pastry</t>
  </si>
  <si>
    <t>Oct</t>
  </si>
  <si>
    <t>Brownie</t>
  </si>
  <si>
    <t>Order_ID</t>
  </si>
  <si>
    <t>Date</t>
  </si>
  <si>
    <t>City</t>
  </si>
  <si>
    <t>Category</t>
  </si>
  <si>
    <t>Units</t>
  </si>
  <si>
    <t>O101</t>
  </si>
  <si>
    <t>Electronics</t>
  </si>
  <si>
    <t>O102</t>
  </si>
  <si>
    <t>O103</t>
  </si>
  <si>
    <t>Chair</t>
  </si>
  <si>
    <t>Furniture</t>
  </si>
  <si>
    <t>O104</t>
  </si>
  <si>
    <t>O105</t>
  </si>
  <si>
    <t>Table</t>
  </si>
  <si>
    <t>O106</t>
  </si>
  <si>
    <t>O107</t>
  </si>
  <si>
    <t>Chennai</t>
  </si>
  <si>
    <t>O108</t>
  </si>
  <si>
    <t>O109</t>
  </si>
  <si>
    <t>O110</t>
  </si>
  <si>
    <r>
      <t xml:space="preserve">Which </t>
    </r>
    <r>
      <rPr>
        <b/>
        <sz val="11"/>
        <color theme="1"/>
        <rFont val="Calibri"/>
        <family val="2"/>
        <scheme val="minor"/>
      </rPr>
      <t>Product contributes the highest revenue</t>
    </r>
    <r>
      <rPr>
        <sz val="11"/>
        <color theme="1"/>
        <rFont val="Calibri"/>
        <family val="2"/>
        <scheme val="minor"/>
      </rPr>
      <t xml:space="preserve"> in each Region?</t>
    </r>
  </si>
  <si>
    <r>
      <t xml:space="preserve">Show </t>
    </r>
    <r>
      <rPr>
        <b/>
        <sz val="11"/>
        <color theme="1"/>
        <rFont val="Calibri"/>
        <family val="2"/>
        <scheme val="minor"/>
      </rPr>
      <t>Revenue trend by Date</t>
    </r>
  </si>
  <si>
    <t>Table 1</t>
  </si>
  <si>
    <t>Table 2</t>
  </si>
  <si>
    <r>
      <t xml:space="preserve">Create a Pivot Table to show </t>
    </r>
    <r>
      <rPr>
        <b/>
        <sz val="11"/>
        <color rgb="FFFF0000"/>
        <rFont val="Calibri"/>
        <family val="2"/>
        <scheme val="minor"/>
      </rPr>
      <t>Total Revenue by Region</t>
    </r>
  </si>
  <si>
    <r>
      <t xml:space="preserve">Show </t>
    </r>
    <r>
      <rPr>
        <b/>
        <sz val="11"/>
        <color rgb="FFFF0000"/>
        <rFont val="Calibri"/>
        <family val="2"/>
        <scheme val="minor"/>
      </rPr>
      <t>Total Units Sold by Product</t>
    </r>
  </si>
  <si>
    <r>
      <t xml:space="preserve">Show </t>
    </r>
    <r>
      <rPr>
        <b/>
        <sz val="11"/>
        <color rgb="FFFF0000"/>
        <rFont val="Calibri"/>
        <family val="2"/>
        <scheme val="minor"/>
      </rPr>
      <t>Total Revenue by Category</t>
    </r>
  </si>
  <si>
    <r>
      <t xml:space="preserve">Show </t>
    </r>
    <r>
      <rPr>
        <b/>
        <sz val="11"/>
        <color rgb="FFFF0000"/>
        <rFont val="Calibri"/>
        <family val="2"/>
        <scheme val="minor"/>
      </rPr>
      <t>Region-wise Revenue split by Category</t>
    </r>
  </si>
  <si>
    <r>
      <t xml:space="preserve">Find </t>
    </r>
    <r>
      <rPr>
        <b/>
        <sz val="11"/>
        <color rgb="FFFF0000"/>
        <rFont val="Calibri"/>
        <family val="2"/>
        <scheme val="minor"/>
      </rPr>
      <t>Top Salesperson by Total Revenue</t>
    </r>
  </si>
  <si>
    <r>
      <t xml:space="preserve">Show </t>
    </r>
    <r>
      <rPr>
        <b/>
        <sz val="11"/>
        <color rgb="FFFF0000"/>
        <rFont val="Calibri"/>
        <family val="2"/>
        <scheme val="minor"/>
      </rPr>
      <t>City-wise Units Sold</t>
    </r>
    <r>
      <rPr>
        <sz val="11"/>
        <color rgb="FFFF0000"/>
        <rFont val="Calibri"/>
        <family val="2"/>
        <scheme val="minor"/>
      </rPr>
      <t xml:space="preserve">, filtered only for </t>
    </r>
    <r>
      <rPr>
        <b/>
        <sz val="11"/>
        <color rgb="FFFF0000"/>
        <rFont val="Calibri"/>
        <family val="2"/>
        <scheme val="minor"/>
      </rPr>
      <t>Electronics</t>
    </r>
  </si>
  <si>
    <t>Seller Name</t>
  </si>
  <si>
    <t>Quantity Sold</t>
  </si>
  <si>
    <t>Price per Unit</t>
  </si>
  <si>
    <t>Customer Feedback</t>
  </si>
  <si>
    <t>Active</t>
  </si>
  <si>
    <t>IF</t>
  </si>
  <si>
    <t>AND</t>
  </si>
  <si>
    <t>OR</t>
  </si>
  <si>
    <t>NOT</t>
  </si>
  <si>
    <t>IFS</t>
  </si>
  <si>
    <t>Ramesh</t>
  </si>
  <si>
    <t>Good</t>
  </si>
  <si>
    <t>Seema</t>
  </si>
  <si>
    <t>Excellent</t>
  </si>
  <si>
    <t>Imran</t>
  </si>
  <si>
    <t>Average</t>
  </si>
  <si>
    <t>Poor</t>
  </si>
  <si>
    <t>Customer ID</t>
  </si>
  <si>
    <t>Full Name</t>
  </si>
  <si>
    <t>Email</t>
  </si>
  <si>
    <t>Feedback</t>
  </si>
  <si>
    <t>left</t>
  </si>
  <si>
    <t>trim</t>
  </si>
  <si>
    <t>right</t>
  </si>
  <si>
    <t>mid</t>
  </si>
  <si>
    <t>len</t>
  </si>
  <si>
    <t>Cleaned City</t>
  </si>
  <si>
    <t>concat</t>
  </si>
  <si>
    <t>textjoin</t>
  </si>
  <si>
    <t>C001</t>
  </si>
  <si>
    <t xml:space="preserve">Riya Sharma  </t>
  </si>
  <si>
    <t>riya_sharma@ gmail.com</t>
  </si>
  <si>
    <t xml:space="preserve">  Mumbai  </t>
  </si>
  <si>
    <t>Very good service</t>
  </si>
  <si>
    <t>C002</t>
  </si>
  <si>
    <t>Amit Kumar</t>
  </si>
  <si>
    <t>AMIT.KUMAR@YAHOO.COM</t>
  </si>
  <si>
    <t xml:space="preserve">  Delhi   </t>
  </si>
  <si>
    <t>Great taste</t>
  </si>
  <si>
    <t>C003</t>
  </si>
  <si>
    <t xml:space="preserve">Neha Mehta  </t>
  </si>
  <si>
    <t>neha123@ hotmail.com</t>
  </si>
  <si>
    <t>Fast delivery</t>
  </si>
  <si>
    <t>C004</t>
  </si>
  <si>
    <t>Rahul Jain</t>
  </si>
  <si>
    <t>rahul.jain@GMAIL.com</t>
  </si>
  <si>
    <t>Ahmedabad</t>
  </si>
  <si>
    <t>Needs improvement</t>
  </si>
  <si>
    <t>C005</t>
  </si>
  <si>
    <t>Meera Patel</t>
  </si>
  <si>
    <t>meera_patel@ yahoo.com</t>
  </si>
  <si>
    <t xml:space="preserve"> Jaipur  </t>
  </si>
  <si>
    <t>Loved the packaging</t>
  </si>
  <si>
    <t>Beverage</t>
  </si>
  <si>
    <t>Q1. Sort by Quantity (Smallest to Largest)</t>
  </si>
  <si>
    <t>Dessert</t>
  </si>
  <si>
    <t>Q2. Sort by Total Sales (Largest to Smallest)</t>
  </si>
  <si>
    <t>Q3. Sort alphabetically by Product name (A → Z)</t>
  </si>
  <si>
    <t>Food</t>
  </si>
  <si>
    <t>Q.4 Multilevel</t>
  </si>
  <si>
    <t>Q5. Show only “Food” category</t>
  </si>
  <si>
    <t>Q6. Filter where Quantity &gt; 20</t>
  </si>
  <si>
    <t>Q7. Filter where Salesperson = “Neha”</t>
  </si>
  <si>
    <t>Q8. Filter Region = “West” AND Category = “Dessert”</t>
  </si>
  <si>
    <t>A (Salesperson)</t>
  </si>
  <si>
    <t>B (Region)</t>
  </si>
  <si>
    <t>C (Product)</t>
  </si>
  <si>
    <t>D (Sales)</t>
  </si>
  <si>
    <t>E (Units)</t>
  </si>
  <si>
    <t>Total Sales in North Region</t>
  </si>
  <si>
    <t>Total Sales by Ankit</t>
  </si>
  <si>
    <t>Phone</t>
  </si>
  <si>
    <t>Total Units Sold of Laptop</t>
  </si>
  <si>
    <t>Sales Greater Than 50,000</t>
  </si>
  <si>
    <t>How many sales happened in North?</t>
  </si>
  <si>
    <t>How many times Meera sold something?</t>
  </si>
  <si>
    <t>Count sales above 60,000</t>
  </si>
  <si>
    <t>Count Laptop sales</t>
  </si>
  <si>
    <t>Average Sales in North</t>
  </si>
  <si>
    <t>Average Units sold by Rahul</t>
  </si>
  <si>
    <t>Average Sales Above 40,000</t>
  </si>
  <si>
    <t>Row Labels</t>
  </si>
  <si>
    <t>Grand Total</t>
  </si>
  <si>
    <t>Sum of Revenue</t>
  </si>
  <si>
    <t>Sum of Units</t>
  </si>
  <si>
    <t>Column Labels</t>
  </si>
  <si>
    <t>TABLE ARRAY</t>
  </si>
  <si>
    <t>COLUMN NAME = SALESPERSON IS THE 'LOOKUP VALUE' BECAUSE IT IS THE COMMON THING BETWEEN THE TWO TABLES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</si>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</sst>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4" borderId="0" applyNumberFormat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15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4" fillId="0" borderId="0" xfId="1" applyAlignment="1">
      <alignment vertical="center"/>
    </xf>
    <xf numFmtId="0" fontId="0" fillId="2" borderId="0" xfId="0" applyFill="1" applyAlignment="1">
      <alignment vertical="center" wrapText="1"/>
    </xf>
    <xf numFmtId="15" fontId="0" fillId="2" borderId="0" xfId="0" applyNumberFormat="1" applyFill="1" applyAlignment="1">
      <alignment vertical="center" wrapText="1"/>
    </xf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 wrapText="1"/>
    </xf>
    <xf numFmtId="15" fontId="0" fillId="3" borderId="0" xfId="0" applyNumberFormat="1" applyFill="1" applyAlignment="1">
      <alignment vertical="center" wrapText="1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9" fillId="4" borderId="0" xfId="4"/>
    <xf numFmtId="0" fontId="7" fillId="5" borderId="0" xfId="2" applyFill="1"/>
    <xf numFmtId="0" fontId="8" fillId="6" borderId="1" xfId="3" applyFill="1"/>
    <xf numFmtId="0" fontId="0" fillId="6" borderId="0" xfId="0" applyFill="1"/>
  </cellXfs>
  <cellStyles count="5">
    <cellStyle name="Bad" xfId="4" builtinId="27"/>
    <cellStyle name="Heading 2" xfId="3" builtinId="17"/>
    <cellStyle name="Hyperlink" xfId="1" builtinId="8"/>
    <cellStyle name="Normal" xfId="0" builtinId="0"/>
    <cellStyle name="Title" xfId="2" builtinId="1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13</xdr:row>
      <xdr:rowOff>68520</xdr:rowOff>
    </xdr:from>
    <xdr:to>
      <xdr:col>0</xdr:col>
      <xdr:colOff>686160</xdr:colOff>
      <xdr:row>14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28FFEF70-E44E-593D-2221-016B9776FEFD}"/>
                </a:ext>
              </a:extLst>
            </xdr14:cNvPr>
            <xdr14:cNvContentPartPr/>
          </xdr14:nvContentPartPr>
          <xdr14:nvPr macro=""/>
          <xdr14:xfrm>
            <a:off x="685800" y="2445960"/>
            <a:ext cx="360" cy="1184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28FFEF70-E44E-593D-2221-016B9776FE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8240" y="2470320"/>
              <a:ext cx="1260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235980</xdr:colOff>
      <xdr:row>13</xdr:row>
      <xdr:rowOff>68760</xdr:rowOff>
    </xdr:from>
    <xdr:to>
      <xdr:col>1</xdr:col>
      <xdr:colOff>418500</xdr:colOff>
      <xdr:row>13</xdr:row>
      <xdr:rowOff>162360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2F892B66-B294-F727-0B3F-F1BC7FFD9C69}"/>
                </a:ext>
              </a:extLst>
            </xdr14:cNvPr>
            <xdr14:cNvContentPartPr/>
          </xdr14:nvContentPartPr>
          <xdr14:nvPr macro=""/>
          <xdr14:xfrm>
            <a:off x="990360" y="2446200"/>
            <a:ext cx="182520" cy="936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2F892B66-B294-F727-0B3F-F1BC7FFD9C6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84240" y="2440080"/>
              <a:ext cx="19476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256020</xdr:colOff>
      <xdr:row>13</xdr:row>
      <xdr:rowOff>44640</xdr:rowOff>
    </xdr:from>
    <xdr:to>
      <xdr:col>2</xdr:col>
      <xdr:colOff>397500</xdr:colOff>
      <xdr:row>14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910AB43-C0DB-4640-7752-48F9FFE96CC1}"/>
                </a:ext>
              </a:extLst>
            </xdr14:cNvPr>
            <xdr14:cNvContentPartPr/>
          </xdr14:nvContentPartPr>
          <xdr14:nvPr macro=""/>
          <xdr14:xfrm>
            <a:off x="1802880" y="2422080"/>
            <a:ext cx="141480" cy="1386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910AB43-C0DB-4640-7752-48F9FFE96CC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796760" y="2415960"/>
              <a:ext cx="15372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472320</xdr:colOff>
      <xdr:row>13</xdr:row>
      <xdr:rowOff>15120</xdr:rowOff>
    </xdr:from>
    <xdr:to>
      <xdr:col>0</xdr:col>
      <xdr:colOff>604440</xdr:colOff>
      <xdr:row>14</xdr:row>
      <xdr:rowOff>17640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608FF5A-5C49-C044-3AFF-7D77E4675534}"/>
                </a:ext>
              </a:extLst>
            </xdr14:cNvPr>
            <xdr14:cNvContentPartPr/>
          </xdr14:nvContentPartPr>
          <xdr14:nvPr macro=""/>
          <xdr14:xfrm>
            <a:off x="472320" y="2392560"/>
            <a:ext cx="132120" cy="1854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608FF5A-5C49-C044-3AFF-7D77E467553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66200" y="2386440"/>
              <a:ext cx="1443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81300</xdr:colOff>
      <xdr:row>13</xdr:row>
      <xdr:rowOff>106560</xdr:rowOff>
    </xdr:from>
    <xdr:to>
      <xdr:col>7</xdr:col>
      <xdr:colOff>455880</xdr:colOff>
      <xdr:row>22</xdr:row>
      <xdr:rowOff>163200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BFFE917-A86E-C808-18EB-AA4554C0A1F8}"/>
                </a:ext>
              </a:extLst>
            </xdr14:cNvPr>
            <xdr14:cNvContentPartPr/>
          </xdr14:nvContentPartPr>
          <xdr14:nvPr macro=""/>
          <xdr14:xfrm>
            <a:off x="3472200" y="2484000"/>
            <a:ext cx="1677600" cy="18702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BFFE917-A86E-C808-18EB-AA4554C0A1F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466080" y="2477880"/>
              <a:ext cx="1689840" cy="1882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8T07:41:46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24575,'0'329'-1365,"0"-338"-5461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8T07:41:47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24575,'44'-16'0,"-40"15"0,-1 0 0,1 0 0,-1 1 0,0-1 0,1 1 0,-1 0 0,1 0 0,-1 0 0,1 1 0,-1-1 0,1 1 0,-1 0 0,1 0 0,-1 0 0,0 0 0,0 0 0,0 1 0,1 0 0,-1-1 0,-1 1 0,1 0 0,0 1 0,0-1 0,-1 0 0,1 1 0,-1-1 0,0 1 0,0 0 0,0 0 0,0 0 0,0 0 0,-1 0 0,1 0 0,-1 0 0,0 1 0,0-1 0,0 0 0,0 1 0,-1-1 0,1 1 0,-1-1 0,0 5 0,0 3 0,0 1 0,-1-1 0,-1 1 0,0-1 0,0 0 0,-1 0 0,-1 0 0,1 0 0,-2 0 0,0-1 0,0 0 0,-7 10 0,6-9 0,6-11 0,0 1 0,0-1 0,0 0 0,0 0 0,0 1 0,-1-1 0,1 0 0,0 0 0,0 1 0,0-1 0,0 0 0,0 0 0,0 1 0,0-1 0,0 0 0,0 0 0,0 1 0,0-1 0,0 0 0,0 1 0,0-1 0,0 0 0,1 0 0,-1 1 0,0-1 0,0 0 0,0 0 0,0 0 0,0 1 0,0-1 0,1 0 0,-1 0 0,0 0 0,0 1 0,0-1 0,1 0 0,-1 0 0,1 0 0,14 4 0,24-7 0,-30 2 0,78-11 0,-60 7 0,55-3 0,-55 7-112,47-9-1,-49 6-1027,-7 1-5686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8T07:41:48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45 24575,'-26'-4'0,"22"-1"0,17-3 0,3 2 0,1 1 0,0 1 0,1 0 0,-1 1 0,19-1 0,-30 3 0,0 1 0,0 0 0,0 0 0,0 0 0,-1 1 0,1 0 0,0 0 0,0 1 0,0-1 0,-1 1 0,1 1 0,-1-1 0,1 1 0,-1-1 0,0 2 0,0-1 0,-1 0 0,9 9 0,-10-10 0,-1 1 0,0 0 0,-1 0 0,1-1 0,0 1 0,-1 0 0,0 1 0,1-1 0,-1 0 0,0 0 0,-1 0 0,1 1 0,0-1 0,-1 0 0,0 1 0,0-1 0,0 0 0,0 1 0,-1-1 0,1 1 0,-1-1 0,0 0 0,0 0 0,-2 5 0,0-2 0,0 0 0,0 0 0,-1 0 0,0 0 0,0-1 0,-1 0 0,1 0 0,-1 0 0,0 0 0,-11 7 0,12-10 0,2 0 0,0 0 0,0-1 0,-1 1 0,1-1 0,0 0 0,-1 0 0,1 0 0,-1 0 0,1 0 0,-1 0 0,-4 0 0,64-28 0,-47 24 0,1 0 0,0 1 0,0 1 0,0-1 0,0 2 0,0-1 0,16 3 0,-24-2 0,0 0 0,-1 1 0,1 0 0,0-1 0,0 1 0,0 0 0,0 0 0,-1 1 0,1-1 0,0 1 0,-1-1 0,1 1 0,-1 0 0,0 0 0,1 0 0,-1 0 0,0 0 0,0 0 0,0 1 0,-1-1 0,1 1 0,-1-1 0,1 1 0,-1 0 0,0-1 0,0 1 0,0 0 0,0 0 0,0 0 0,-1 0 0,1 3 0,-1-1 0,1-1 0,-1 1 0,0-1 0,0 1 0,0-1 0,-1 1 0,0-1 0,0 0 0,0 1 0,0-1 0,0 0 0,-1 1 0,-4 6 0,2-6 0,0 0 0,0 0 0,0-1 0,-1 1 0,0-1 0,0 0 0,0 0 0,-12 6 0,10-5 0,-1-1 0,1 0 0,-1 0 0,0 0 0,0-1 0,-1-1 0,1 1 0,0-1 0,-1-1 0,0 1 0,1-1 0,-1-1 0,0 0 0,1 0 0,-1-1 0,0 0 0,1 0 0,-1-1 0,1 0 0,0 0 0,-12-6 0,10 2-1365,4-1-5461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8T07:49:56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21 24575,'-2'1'0,"0"0"0,1-1 0,-1 1 0,1 0 0,-1 0 0,1 0 0,-1 0 0,1 0 0,0 0 0,-1 0 0,1 1 0,0-1 0,0 0 0,0 1 0,0-1 0,0 1 0,0-1 0,0 1 0,1 0 0,-1-1 0,1 1 0,-1 0 0,1-1 0,-1 3 0,-10 44 0,-6 105 0,12-114 0,1 0 0,4 68 0,0-68 0,0-35 55,1-7-1475,-1-5-5406</inkml:trace>
  <inkml:trace contextRef="#ctx0" brushRef="#br0" timeOffset="522.28">22 254 24575,'1'4'0,"0"-1"0,0 0 0,1 0 0,-1 0 0,1 1 0,0-2 0,0 1 0,0 0 0,5 4 0,4 8 0,-2 1 0,-1 0 0,-1 0 0,0 1 0,-1 0 0,-1 1 0,-1-1 0,4 28 0,-8-42 0,0-1 0,0 1 0,1 0 0,-1-1 0,1 1 0,-1-1 0,1 0 0,0 1 0,0-1 0,0 1 0,1-1 0,-1 0 0,0 0 0,1 0 0,0 0 0,-1 0 0,1 0 0,4 3 0,-4-5 0,0 1 0,-1-1 0,1 0 0,0 0 0,0 1 0,0-1 0,0-1 0,0 1 0,0 0 0,-1 0 0,1-1 0,0 1 0,0-1 0,0 0 0,-1 1 0,1-1 0,0 0 0,-1 0 0,1 0 0,-1 0 0,1 0 0,-1-1 0,1 1 0,-1 0 0,3-3 0,128-134 0,-112 115-1365,-13 14-5461</inkml:trace>
  <inkml:trace contextRef="#ctx0" brushRef="#br0" timeOffset="1076.34">255 0 24575,'-2'20'0,"0"-1"0,-1 0 0,-1 0 0,-7 23 0,5-23 0,1 1 0,1 0 0,-3 37 0,7-17 0,0-16 0,0-1 0,-2 1 0,-8 42 0,2-18-1365,7-40-5461</inkml:trace>
  <inkml:trace contextRef="#ctx0" brushRef="#br0" timeOffset="1933.49">1 191 24575,'1'12'0,"1"-1"0,1 0 0,0 0 0,0 0 0,1 0 0,0 0 0,10 15 0,6 17 0,29 103 0,-49-145 0,1 0 0,-1 0 0,0 0 0,1-1 0,-1 1 0,1 0 0,-1-1 0,1 1 0,0 0 0,-1-1 0,1 1 0,-1 0 0,1-1 0,0 1 0,0-1 0,-1 0 0,1 1 0,0-1 0,0 0 0,0 1 0,-1-1 0,1 0 0,0 0 0,0 1 0,0-1 0,0 0 0,-1 0 0,1 0 0,0 0 0,0 0 0,0 0 0,0-1 0,0 1 0,-1 0 0,1 0 0,0-1 0,0 1 0,0 0 0,-1-1 0,1 1 0,0-1 0,0 1 0,-1-1 0,1 1 0,0-1 0,-1 1 0,1-1 0,0 0 0,7-6 0,0-1 0,-1 1 0,9-11 0,-8 9 0,18-17 0,57-42 0,-77 63 0,11-9-23,-13 9-201,1 1 0,-1 1 1,1-1-1,0 0 1,10-4-1,-5 5-6602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2T12:39:40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346 0 24575,'5'0'0,"12"0"0,0 0 0,30 5 0,-41-3 0,1 0 0,-1 0 0,1 1 0,-1-1 0,0 1 0,1 1 0,-1-1 0,-1 1 0,10 8 0,73 57 0,-44-36 0,53 52 0,-41-29 0,248 278 0,-291-317 0,-1 0 0,-1 1 0,-1 0 0,0 1 0,-1 0 0,-2 1 0,1-1 0,-2 2 0,-1-1 0,5 33 0,6 86 0,24 231 0,13-4 0,-48-342 0,2 0 0,0-1 0,2 0 0,12 24 0,52 85 0,-44-82 0,17 23 0,2-3 0,65 71 0,-106-131 0,1-2 0,0 1 0,16 11 0,-20-17 0,1 0 0,-1 0 0,1-1 0,0 0 0,0 0 0,0 0 0,0 0 0,0-1 0,0 0 0,8 1 0,26 0 0,39-3 0,34 2 0,-110-1 0,-1 0 0,0 0 0,1 0 0,-1 0 0,0 0 0,0 0 0,1 1 0,-1-1 0,0 1 0,0-1 0,1 1 0,-1-1 0,0 1 0,0-1 0,0 1 0,0 0 0,0 0 0,0 0 0,0 0 0,0-1 0,0 1 0,0 0 0,-1 1 0,1-1 0,0 0 0,0 0 0,-1 0 0,1 0 0,-1 0 0,1 1 0,-1-1 0,0 0 0,0 0 0,1 1 0,-1-1 0,0 0 0,0 3 0,-1 4 0,0 0 0,-1-1 0,0 1 0,0 0 0,-5 10 0,-2 4 0,-46 133 0,38-114 0,1 0 0,3 1 0,1 1 0,2 0 0,-5 50 0,7 19 0,-4 149 0,12-202 0,3 0 0,2 0 0,3-1 0,17 67 0,9-9 0,-15-59 0,-3 1 0,-2 1 0,11 118 0,-24-140 0,-5 68 0,2-92 0,0 0 0,-1 0 0,0 0 0,-2-1 0,1 1 0,-1-1 0,-1 0 0,-12 19 0,-6 3 0,-2-1 0,-46 46 0,-70 51 0,50-47 0,36-32 0,-2-3 0,-74 48 0,91-71 0,-1-1 0,-1-3 0,-1-1 0,-69 21 0,56-26 0,-1-3 0,0-2 0,0-2 0,-1-3 0,0-3 0,-71-6 0,65-2 0,1-3 0,0-3 0,1-2 0,1-3 0,-87-36 0,138 49 0,0-1 0,1 0 0,-1-1 0,1 0 0,1 0 0,-1-1 0,1 0 0,0-1 0,-12-14 0,20 21 0,1 1 0,0 0 0,-1-1 0,1 1 0,0-1 0,0 1 0,-1-1 0,1 1 0,0 0 0,0-1 0,0 1 0,0-1 0,0 1 0,0-1 0,0 1 0,0-1 0,0 1 0,0-1 0,0 1 0,0-1 0,0 1 0,0-1 0,0 1 0,0-1 0,0 1 0,1-1 0,-1 1 0,0-1 0,0 1 0,1 0 0,-1-1 0,0 1 0,1-1 0,18-8 0,23 5 0,-11 6-1365,-5 2-5461</inkml:trace>
  <inkml:trace contextRef="#ctx0" brushRef="#br0" timeOffset="2907.69">2590 2752 24575,'0'0'0,"0"-1"0,0 0 0,0 0 0,1 1 0,-1-1 0,0 0 0,1 0 0,-1 1 0,1-1 0,-1 1 0,1-1 0,-1 0 0,1 1 0,-1-1 0,1 1 0,0-1 0,-1 1 0,1-1 0,0 1 0,-1 0 0,1-1 0,0 1 0,-1 0 0,1-1 0,0 1 0,0 0 0,1 0 0,25-4 0,-24 3 0,349 0 0,-205 11 0,60 1 0,-81-10 0,382-16 0,-416 2 0,-45 5 0,86-2 0,-129 10 0,34-2 0,-37 3 0,-1-1 0,1 0 0,-1 0 0,1 0 0,0 0 0,-1 0 0,1 0 0,-1 0 0,1 0 0,-1-1 0,1 1 0,-1 0 0,1 0 0,0 0 0,-1-1 0,1 1 0,-1 0 0,1 0 0,-1-1 0,0 1 0,1 0 0,-1-1 0,1 1 0,-1-1 0,0 1 0,1 0 0,-1-1 0,0 1 0,1-1 0,-1 1 0,0-1 0,0 1 0,1-1 0,-1 0 0,0 1 0,0-1 0,0 1 0,0-1 0,0 1 0,0-1 0,0 1 0,0-1 0,0 0 0,0 1 0,0-1 0,0 1 0,0-1 0,0 1 0,-1-1 0,1 1 0,0-1 0,-1 0 0,-13-18 0,-1 1 0,-1 0 0,-1 1 0,-20-17 0,-2-1 0,-36-34 0,-31-30 0,103 95 0,-1 0 0,0-1 0,1 1 0,0-1 0,-4-8 0,7 13 0,-1-1 0,1 1 0,0-1 0,0 1 0,0-1 0,-1 1 0,1-1 0,0 0 0,0 1 0,0-1 0,0 1 0,0-1 0,0 0 0,0 1 0,0-1 0,0 1 0,0-1 0,1 0 0,-1 1 0,0-1 0,0 1 0,1-2 0,0 2 0,0-1 0,0 1 0,-1-1 0,1 1 0,0 0 0,0-1 0,0 1 0,0 0 0,0 0 0,0-1 0,0 1 0,0 0 0,0 0 0,0 0 0,0 0 0,0 0 0,0 0 0,0 1 0,1-1 0,9 3 0,0 0 0,0 0 0,0 1 0,-1 1 0,1 0 0,-1 0 0,10 7 0,67 52 0,-66-47 0,14 14 0,-1 2 0,-2 1 0,-2 2 0,36 52 0,28 34 0,-30-55 0,-44-49 0,-1 2 0,-1 0 0,0 1 0,18 31 0,-35-49 0,1 0 0,-1 0 0,0 0 0,0 0 0,0 0 0,0 0 0,0 1 0,-1-1 0,1 0 0,-1 1 0,0-1 0,0 0 0,0 1 0,-1-1 0,1 0 0,-1 1 0,0-1 0,0 0 0,0 0 0,0 1 0,-2 2 0,-4 6 0,0-1 0,-1 0 0,0 0 0,-11 11 0,-3 5 0,-4 6 0,-5 9 0,-2-1 0,-2-1 0,-48 41 0,58-58 0,-32 37 0,34-35 0,-37 34 0,40-45-111,11-8 159,1 0-1,0 0 1,0 1 0,-6 7-1,13-13-92,0 0 0,0 0-1,0 1 1,0-1 0,0 0 0,0 0 0,0 1-1,1-1 1,-1 0 0,1 1 0,-1-1 0,1 1-1,-1-1 1,1 1 0,0-1 0,0 1-1,-1-1 1,1 1 0,0 0 0,1-1 0,-1 1-1,0-1 1,0 1 0,1-1 0,-1 1-1,1-1 1,-1 0 0,1 1 0,-1-1 0,1 1-1,0-1 1,1 1 0,8 10-6781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raj" refreshedDate="46103.688236111113" createdVersion="8" refreshedVersion="8" minRefreshableVersion="3" recordCount="10" xr:uid="{9E51D078-01D5-4567-B5D9-F7ABE7509086}">
  <cacheSource type="worksheet">
    <worksheetSource ref="A1:I11" sheet="Pivot Data"/>
  </cacheSource>
  <cacheFields count="9">
    <cacheField name="Order_ID" numFmtId="0">
      <sharedItems/>
    </cacheField>
    <cacheField name="Date" numFmtId="14">
      <sharedItems containsSemiMixedTypes="0" containsNonDate="0" containsDate="1" containsString="0" minDate="2024-01-01T00:00:00" maxDate="2024-01-08T00:00:00" count="7">
        <d v="2024-01-01T00:00:00"/>
        <d v="2024-01-02T00:00:00"/>
        <d v="2024-01-03T00:00:00"/>
        <d v="2024-01-04T00:00:00"/>
        <d v="2024-01-05T00:00:00"/>
        <d v="2024-01-06T00:00:00"/>
        <d v="2024-01-07T00:00:00"/>
      </sharedItems>
    </cacheField>
    <cacheField name="Region" numFmtId="0">
      <sharedItems count="3">
        <s v="West"/>
        <s v="North"/>
        <s v="South"/>
      </sharedItems>
    </cacheField>
    <cacheField name="City" numFmtId="0">
      <sharedItems count="5">
        <s v="Mumbai"/>
        <s v="Pune"/>
        <s v="Delhi"/>
        <s v="Bangalore"/>
        <s v="Chennai"/>
      </sharedItems>
    </cacheField>
    <cacheField name="Product" numFmtId="0">
      <sharedItems count="4">
        <s v="Laptop"/>
        <s v="Mobile"/>
        <s v="Chair"/>
        <s v="Table"/>
      </sharedItems>
    </cacheField>
    <cacheField name="Category" numFmtId="0">
      <sharedItems count="2">
        <s v="Electronics"/>
        <s v="Furniture"/>
      </sharedItems>
    </cacheField>
    <cacheField name="Salesperson" numFmtId="0">
      <sharedItems count="5">
        <s v="Rahul"/>
        <s v="Aditi"/>
        <s v="Neha"/>
        <s v="Kunal"/>
        <s v="Sneha"/>
      </sharedItems>
    </cacheField>
    <cacheField name="Units" numFmtId="0">
      <sharedItems containsSemiMixedTypes="0" containsString="0" containsNumber="1" containsInteger="1" minValue="1" maxValue="6"/>
    </cacheField>
    <cacheField name="Revenue" numFmtId="0">
      <sharedItems containsSemiMixedTypes="0" containsString="0" containsNumber="1" containsInteger="1" minValue="18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101"/>
    <x v="0"/>
    <x v="0"/>
    <x v="0"/>
    <x v="0"/>
    <x v="0"/>
    <x v="0"/>
    <n v="2"/>
    <n v="120000"/>
  </r>
  <r>
    <s v="O102"/>
    <x v="1"/>
    <x v="0"/>
    <x v="1"/>
    <x v="1"/>
    <x v="0"/>
    <x v="1"/>
    <n v="3"/>
    <n v="90000"/>
  </r>
  <r>
    <s v="O103"/>
    <x v="2"/>
    <x v="1"/>
    <x v="2"/>
    <x v="2"/>
    <x v="1"/>
    <x v="2"/>
    <n v="5"/>
    <n v="25000"/>
  </r>
  <r>
    <s v="O104"/>
    <x v="2"/>
    <x v="2"/>
    <x v="3"/>
    <x v="0"/>
    <x v="0"/>
    <x v="3"/>
    <n v="1"/>
    <n v="60000"/>
  </r>
  <r>
    <s v="O105"/>
    <x v="3"/>
    <x v="1"/>
    <x v="2"/>
    <x v="3"/>
    <x v="1"/>
    <x v="0"/>
    <n v="2"/>
    <n v="18000"/>
  </r>
  <r>
    <s v="O106"/>
    <x v="4"/>
    <x v="0"/>
    <x v="0"/>
    <x v="1"/>
    <x v="0"/>
    <x v="1"/>
    <n v="4"/>
    <n v="120000"/>
  </r>
  <r>
    <s v="O107"/>
    <x v="4"/>
    <x v="2"/>
    <x v="4"/>
    <x v="2"/>
    <x v="1"/>
    <x v="4"/>
    <n v="6"/>
    <n v="30000"/>
  </r>
  <r>
    <s v="O108"/>
    <x v="5"/>
    <x v="0"/>
    <x v="1"/>
    <x v="0"/>
    <x v="0"/>
    <x v="0"/>
    <n v="1"/>
    <n v="60000"/>
  </r>
  <r>
    <s v="O109"/>
    <x v="5"/>
    <x v="1"/>
    <x v="2"/>
    <x v="1"/>
    <x v="0"/>
    <x v="2"/>
    <n v="2"/>
    <n v="60000"/>
  </r>
  <r>
    <s v="O110"/>
    <x v="6"/>
    <x v="2"/>
    <x v="3"/>
    <x v="3"/>
    <x v="1"/>
    <x v="3"/>
    <n v="3"/>
    <n v="2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22C4C-F9F4-4459-A57E-D1F3F7AF7A1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E6C3A-53D3-4181-A573-E40F0F25305C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30BEE-5E39-4027-981C-27B2A213BCDE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9">
    <pivotField showAll="0"/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0FA45-4E4A-4BB2-B1F4-7D48F04BE5BE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axis="axisRow" showAll="0" measureFilter="1">
      <items count="6">
        <item x="1"/>
        <item x="3"/>
        <item x="2"/>
        <item x="0"/>
        <item x="4"/>
        <item t="default"/>
      </items>
    </pivotField>
    <pivotField showAll="0"/>
    <pivotField dataField="1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21D2C-F7F8-4A66-873B-42E97517EEEA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9">
    <pivotField showAll="0"/>
    <pivotField numFmtId="14"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2"/>
    </i>
    <i>
      <x v="3"/>
    </i>
    <i>
      <x v="4"/>
    </i>
    <i t="grand">
      <x/>
    </i>
  </rowItems>
  <colItems count="1">
    <i/>
  </colItems>
  <pageFields count="1">
    <pageField fld="5" item="0" hier="-1"/>
  </pageFields>
  <dataFields count="1">
    <dataField name="Sum of Uni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8249A-3470-441F-87CF-A9A3CA464D3D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9">
    <pivotField showAll="0"/>
    <pivotField numFmtId="14" showAll="0"/>
    <pivotField axis="axisCol"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BE0AE-F5A5-4881-AD91-B9EE5FEDA1EA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9">
    <pivotField showAll="0"/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.jain@GMAIL.com" TargetMode="External"/><Relationship Id="rId1" Type="http://schemas.openxmlformats.org/officeDocument/2006/relationships/hyperlink" Target="mailto:AMIT.KUMAR@YAHOO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2CD0-8F23-4EE3-8D14-2AD4633D2144}">
  <dimension ref="A1:M9"/>
  <sheetViews>
    <sheetView workbookViewId="0">
      <selection activeCell="E20" sqref="E20"/>
    </sheetView>
  </sheetViews>
  <sheetFormatPr defaultRowHeight="14.4" x14ac:dyDescent="0.3"/>
  <cols>
    <col min="1" max="1" width="12.88671875" customWidth="1"/>
  </cols>
  <sheetData>
    <row r="1" spans="1:13" ht="57.6" x14ac:dyDescent="0.3">
      <c r="A1" s="1" t="s">
        <v>133</v>
      </c>
      <c r="B1" s="1" t="s">
        <v>162</v>
      </c>
      <c r="C1" s="1" t="s">
        <v>3</v>
      </c>
      <c r="D1" s="1" t="s">
        <v>163</v>
      </c>
      <c r="E1" s="1" t="s">
        <v>164</v>
      </c>
      <c r="F1" s="1" t="s">
        <v>6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</row>
    <row r="2" spans="1:13" x14ac:dyDescent="0.3">
      <c r="A2" s="15">
        <v>45931</v>
      </c>
      <c r="B2" s="2" t="s">
        <v>172</v>
      </c>
      <c r="C2" s="2" t="s">
        <v>10</v>
      </c>
      <c r="D2" s="2">
        <v>120</v>
      </c>
      <c r="E2" s="2">
        <v>25</v>
      </c>
      <c r="F2" s="2">
        <v>3000</v>
      </c>
      <c r="G2" s="2" t="s">
        <v>173</v>
      </c>
      <c r="H2" s="2" t="b">
        <v>1</v>
      </c>
    </row>
    <row r="3" spans="1:13" x14ac:dyDescent="0.3">
      <c r="A3" s="15">
        <v>45931</v>
      </c>
      <c r="B3" s="2" t="s">
        <v>174</v>
      </c>
      <c r="C3" s="2" t="s">
        <v>14</v>
      </c>
      <c r="D3" s="2">
        <v>80</v>
      </c>
      <c r="E3" s="2">
        <v>20</v>
      </c>
      <c r="F3" s="2">
        <v>1600</v>
      </c>
      <c r="G3" s="2" t="s">
        <v>175</v>
      </c>
      <c r="H3" s="2" t="b">
        <v>1</v>
      </c>
    </row>
    <row r="4" spans="1:13" x14ac:dyDescent="0.3">
      <c r="A4" s="15">
        <v>45931</v>
      </c>
      <c r="B4" s="2" t="s">
        <v>176</v>
      </c>
      <c r="C4" s="2" t="s">
        <v>18</v>
      </c>
      <c r="D4" s="2">
        <v>150</v>
      </c>
      <c r="E4" s="2">
        <v>22</v>
      </c>
      <c r="F4" s="2">
        <v>3300</v>
      </c>
      <c r="G4" s="2" t="s">
        <v>177</v>
      </c>
      <c r="H4" s="2" t="b">
        <v>1</v>
      </c>
    </row>
    <row r="5" spans="1:13" x14ac:dyDescent="0.3">
      <c r="A5" s="15">
        <v>45931</v>
      </c>
      <c r="B5" s="2" t="s">
        <v>101</v>
      </c>
      <c r="C5" s="2" t="s">
        <v>22</v>
      </c>
      <c r="D5" s="2">
        <v>60</v>
      </c>
      <c r="E5" s="2">
        <v>30</v>
      </c>
      <c r="F5" s="2">
        <v>1800</v>
      </c>
      <c r="G5" s="2" t="s">
        <v>178</v>
      </c>
      <c r="H5" s="2" t="b">
        <v>0</v>
      </c>
    </row>
    <row r="6" spans="1:13" x14ac:dyDescent="0.3">
      <c r="A6" s="15">
        <v>45932</v>
      </c>
      <c r="B6" s="2" t="s">
        <v>172</v>
      </c>
      <c r="C6" s="2" t="s">
        <v>10</v>
      </c>
      <c r="D6" s="2">
        <v>140</v>
      </c>
      <c r="E6" s="2">
        <v>25</v>
      </c>
      <c r="F6" s="2">
        <v>3500</v>
      </c>
      <c r="G6" s="2" t="s">
        <v>175</v>
      </c>
      <c r="H6" s="2" t="b">
        <v>1</v>
      </c>
    </row>
    <row r="7" spans="1:13" x14ac:dyDescent="0.3">
      <c r="A7" s="15">
        <v>45932</v>
      </c>
      <c r="B7" s="2" t="s">
        <v>174</v>
      </c>
      <c r="C7" s="2" t="s">
        <v>14</v>
      </c>
      <c r="D7" s="2">
        <v>90</v>
      </c>
      <c r="E7" s="2">
        <v>20</v>
      </c>
      <c r="F7" s="2">
        <v>1800</v>
      </c>
      <c r="G7" s="2" t="s">
        <v>173</v>
      </c>
      <c r="H7" s="2" t="b">
        <v>1</v>
      </c>
    </row>
    <row r="8" spans="1:13" x14ac:dyDescent="0.3">
      <c r="A8" s="15">
        <v>45932</v>
      </c>
      <c r="B8" s="2" t="s">
        <v>176</v>
      </c>
      <c r="C8" s="2" t="s">
        <v>18</v>
      </c>
      <c r="D8" s="2">
        <v>160</v>
      </c>
      <c r="E8" s="2">
        <v>22</v>
      </c>
      <c r="F8" s="2">
        <v>3520</v>
      </c>
      <c r="G8" s="2" t="s">
        <v>175</v>
      </c>
      <c r="H8" s="2" t="b">
        <v>1</v>
      </c>
    </row>
    <row r="9" spans="1:13" x14ac:dyDescent="0.3">
      <c r="A9" s="15">
        <v>45932</v>
      </c>
      <c r="B9" s="2" t="s">
        <v>101</v>
      </c>
      <c r="C9" s="2" t="s">
        <v>22</v>
      </c>
      <c r="D9" s="2">
        <v>70</v>
      </c>
      <c r="E9" s="2">
        <v>30</v>
      </c>
      <c r="F9" s="2">
        <v>2100</v>
      </c>
      <c r="G9" s="2" t="s">
        <v>177</v>
      </c>
      <c r="H9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ABB8-F6C6-40F0-93AE-A6E3F4F30462}">
  <dimension ref="A1:M6"/>
  <sheetViews>
    <sheetView workbookViewId="0">
      <selection activeCell="G21" sqref="G21"/>
    </sheetView>
  </sheetViews>
  <sheetFormatPr defaultRowHeight="14.4" x14ac:dyDescent="0.3"/>
  <sheetData>
    <row r="1" spans="1:13" x14ac:dyDescent="0.3">
      <c r="A1" s="3" t="s">
        <v>179</v>
      </c>
      <c r="B1" s="3" t="s">
        <v>180</v>
      </c>
      <c r="C1" s="3" t="s">
        <v>181</v>
      </c>
      <c r="D1" s="3" t="s">
        <v>134</v>
      </c>
      <c r="E1" s="3" t="s">
        <v>182</v>
      </c>
      <c r="F1" s="3" t="s">
        <v>183</v>
      </c>
      <c r="G1" s="3" t="s">
        <v>184</v>
      </c>
      <c r="H1" s="3" t="s">
        <v>185</v>
      </c>
      <c r="I1" s="3" t="s">
        <v>186</v>
      </c>
      <c r="J1" s="3" t="s">
        <v>187</v>
      </c>
      <c r="K1" s="3" t="s">
        <v>188</v>
      </c>
      <c r="L1" s="3" t="s">
        <v>189</v>
      </c>
      <c r="M1" s="3" t="s">
        <v>190</v>
      </c>
    </row>
    <row r="2" spans="1:13" x14ac:dyDescent="0.3">
      <c r="A2" s="4" t="s">
        <v>191</v>
      </c>
      <c r="B2" s="4" t="s">
        <v>192</v>
      </c>
      <c r="C2" s="4" t="s">
        <v>193</v>
      </c>
      <c r="D2" s="4" t="s">
        <v>194</v>
      </c>
      <c r="E2" s="4" t="s">
        <v>195</v>
      </c>
      <c r="L2" s="16"/>
    </row>
    <row r="3" spans="1:13" x14ac:dyDescent="0.3">
      <c r="A3" s="4" t="s">
        <v>196</v>
      </c>
      <c r="B3" s="4" t="s">
        <v>197</v>
      </c>
      <c r="C3" s="17" t="s">
        <v>198</v>
      </c>
      <c r="D3" s="4" t="s">
        <v>199</v>
      </c>
      <c r="E3" s="4" t="s">
        <v>200</v>
      </c>
      <c r="L3" s="16"/>
    </row>
    <row r="4" spans="1:13" x14ac:dyDescent="0.3">
      <c r="A4" s="4" t="s">
        <v>201</v>
      </c>
      <c r="B4" s="4" t="s">
        <v>202</v>
      </c>
      <c r="C4" s="4" t="s">
        <v>203</v>
      </c>
      <c r="D4" s="4" t="s">
        <v>104</v>
      </c>
      <c r="E4" s="4" t="s">
        <v>204</v>
      </c>
      <c r="L4" s="16"/>
    </row>
    <row r="5" spans="1:13" x14ac:dyDescent="0.3">
      <c r="A5" s="4" t="s">
        <v>205</v>
      </c>
      <c r="B5" s="4" t="s">
        <v>206</v>
      </c>
      <c r="C5" s="17" t="s">
        <v>207</v>
      </c>
      <c r="D5" s="4" t="s">
        <v>208</v>
      </c>
      <c r="E5" s="4" t="s">
        <v>209</v>
      </c>
      <c r="L5" s="16"/>
    </row>
    <row r="6" spans="1:13" x14ac:dyDescent="0.3">
      <c r="A6" s="4" t="s">
        <v>210</v>
      </c>
      <c r="B6" s="4" t="s">
        <v>211</v>
      </c>
      <c r="C6" s="4" t="s">
        <v>212</v>
      </c>
      <c r="D6" s="4" t="s">
        <v>213</v>
      </c>
      <c r="E6" s="4" t="s">
        <v>214</v>
      </c>
      <c r="L6" s="16"/>
    </row>
  </sheetData>
  <hyperlinks>
    <hyperlink ref="C3" r:id="rId1" display="mailto:AMIT.KUMAR@YAHOO.COM" xr:uid="{700EC781-43B3-4374-8755-30912C712FCE}"/>
    <hyperlink ref="C5" r:id="rId2" display="mailto:rahul.jain@GMAIL.com" xr:uid="{2325A992-18C4-4000-B537-0516B96959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AF94-3E52-4CAC-997A-DAFDDC8C0971}">
  <dimension ref="A1:K11"/>
  <sheetViews>
    <sheetView workbookViewId="0">
      <selection activeCell="G14" sqref="G14"/>
    </sheetView>
  </sheetViews>
  <sheetFormatPr defaultRowHeight="14.4" x14ac:dyDescent="0.3"/>
  <sheetData>
    <row r="1" spans="1:11" ht="28.8" x14ac:dyDescent="0.3">
      <c r="A1" s="1" t="s">
        <v>0</v>
      </c>
      <c r="B1" s="1" t="s">
        <v>133</v>
      </c>
      <c r="C1" s="1" t="s">
        <v>2</v>
      </c>
      <c r="D1" s="1" t="s">
        <v>135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1</v>
      </c>
    </row>
    <row r="2" spans="1:11" ht="28.8" x14ac:dyDescent="0.3">
      <c r="A2" s="2">
        <v>1006</v>
      </c>
      <c r="B2" s="15">
        <v>45298</v>
      </c>
      <c r="C2" s="2" t="s">
        <v>123</v>
      </c>
      <c r="D2" s="2" t="s">
        <v>215</v>
      </c>
      <c r="E2" s="2">
        <v>18</v>
      </c>
      <c r="F2" s="2">
        <v>25</v>
      </c>
      <c r="G2" s="2">
        <v>450</v>
      </c>
      <c r="H2" s="2" t="s">
        <v>10</v>
      </c>
      <c r="I2" s="2" t="s">
        <v>115</v>
      </c>
    </row>
    <row r="3" spans="1:11" x14ac:dyDescent="0.3">
      <c r="A3" s="18">
        <v>1004</v>
      </c>
      <c r="B3" s="19">
        <v>45296</v>
      </c>
      <c r="C3" s="18" t="s">
        <v>119</v>
      </c>
      <c r="D3" s="18" t="s">
        <v>215</v>
      </c>
      <c r="E3" s="18">
        <v>20</v>
      </c>
      <c r="F3" s="18">
        <v>15</v>
      </c>
      <c r="G3" s="18">
        <v>300</v>
      </c>
      <c r="H3" s="18" t="s">
        <v>18</v>
      </c>
      <c r="I3" s="18" t="s">
        <v>94</v>
      </c>
    </row>
    <row r="4" spans="1:11" ht="15.6" x14ac:dyDescent="0.3">
      <c r="A4" s="2">
        <v>1005</v>
      </c>
      <c r="B4" s="15">
        <v>45297</v>
      </c>
      <c r="C4" s="2" t="s">
        <v>121</v>
      </c>
      <c r="D4" s="2" t="s">
        <v>215</v>
      </c>
      <c r="E4" s="2">
        <v>30</v>
      </c>
      <c r="F4" s="2">
        <v>10</v>
      </c>
      <c r="G4" s="2">
        <v>300</v>
      </c>
      <c r="H4" s="2" t="s">
        <v>22</v>
      </c>
      <c r="I4" s="2" t="s">
        <v>58</v>
      </c>
      <c r="K4" s="20" t="s">
        <v>216</v>
      </c>
    </row>
    <row r="5" spans="1:11" ht="15.6" x14ac:dyDescent="0.3">
      <c r="A5" s="2">
        <v>1010</v>
      </c>
      <c r="B5" s="15">
        <v>45302</v>
      </c>
      <c r="C5" s="2" t="s">
        <v>131</v>
      </c>
      <c r="D5" s="2" t="s">
        <v>217</v>
      </c>
      <c r="E5" s="2">
        <v>8</v>
      </c>
      <c r="F5" s="2">
        <v>50</v>
      </c>
      <c r="G5" s="2">
        <v>400</v>
      </c>
      <c r="H5" s="2" t="s">
        <v>10</v>
      </c>
      <c r="I5" s="2" t="s">
        <v>115</v>
      </c>
      <c r="K5" s="20" t="s">
        <v>218</v>
      </c>
    </row>
    <row r="6" spans="1:11" ht="15.6" x14ac:dyDescent="0.3">
      <c r="A6" s="2">
        <v>1009</v>
      </c>
      <c r="B6" s="15">
        <v>45301</v>
      </c>
      <c r="C6" s="2" t="s">
        <v>129</v>
      </c>
      <c r="D6" s="2" t="s">
        <v>217</v>
      </c>
      <c r="E6" s="2">
        <v>12</v>
      </c>
      <c r="F6" s="2">
        <v>35</v>
      </c>
      <c r="G6" s="2">
        <v>420</v>
      </c>
      <c r="H6" s="2" t="s">
        <v>22</v>
      </c>
      <c r="I6" s="2" t="s">
        <v>50</v>
      </c>
      <c r="K6" s="20" t="s">
        <v>219</v>
      </c>
    </row>
    <row r="7" spans="1:11" ht="15.6" x14ac:dyDescent="0.3">
      <c r="A7" s="21">
        <v>1002</v>
      </c>
      <c r="B7" s="22">
        <v>45294</v>
      </c>
      <c r="C7" s="21" t="s">
        <v>114</v>
      </c>
      <c r="D7" s="21" t="s">
        <v>220</v>
      </c>
      <c r="E7" s="21">
        <v>10</v>
      </c>
      <c r="F7" s="21">
        <v>20</v>
      </c>
      <c r="G7" s="21">
        <v>200</v>
      </c>
      <c r="H7" s="21" t="s">
        <v>10</v>
      </c>
      <c r="I7" s="21" t="s">
        <v>115</v>
      </c>
      <c r="K7" s="20" t="s">
        <v>221</v>
      </c>
    </row>
    <row r="8" spans="1:11" ht="15.6" x14ac:dyDescent="0.3">
      <c r="A8" s="2">
        <v>1003</v>
      </c>
      <c r="B8" s="15">
        <v>45295</v>
      </c>
      <c r="C8" s="2" t="s">
        <v>117</v>
      </c>
      <c r="D8" s="2" t="s">
        <v>220</v>
      </c>
      <c r="E8" s="2">
        <v>15</v>
      </c>
      <c r="F8" s="2">
        <v>40</v>
      </c>
      <c r="G8" s="2">
        <v>600</v>
      </c>
      <c r="H8" s="2" t="s">
        <v>14</v>
      </c>
      <c r="I8" s="2" t="s">
        <v>54</v>
      </c>
      <c r="K8" s="20" t="s">
        <v>222</v>
      </c>
    </row>
    <row r="9" spans="1:11" ht="15.6" x14ac:dyDescent="0.3">
      <c r="A9" s="2">
        <v>1007</v>
      </c>
      <c r="B9" s="15">
        <v>45299</v>
      </c>
      <c r="C9" s="2" t="s">
        <v>125</v>
      </c>
      <c r="D9" s="2" t="s">
        <v>220</v>
      </c>
      <c r="E9" s="2">
        <v>22</v>
      </c>
      <c r="F9" s="2">
        <v>50</v>
      </c>
      <c r="G9" s="2">
        <v>1100</v>
      </c>
      <c r="H9" s="2" t="s">
        <v>14</v>
      </c>
      <c r="I9" s="2" t="s">
        <v>54</v>
      </c>
      <c r="K9" s="20" t="s">
        <v>223</v>
      </c>
    </row>
    <row r="10" spans="1:11" ht="15.6" x14ac:dyDescent="0.3">
      <c r="A10" s="2">
        <v>1001</v>
      </c>
      <c r="B10" s="15">
        <v>45293</v>
      </c>
      <c r="C10" s="2" t="s">
        <v>112</v>
      </c>
      <c r="D10" s="2" t="s">
        <v>220</v>
      </c>
      <c r="E10" s="2">
        <v>25</v>
      </c>
      <c r="F10" s="2">
        <v>25</v>
      </c>
      <c r="G10" s="2">
        <v>625</v>
      </c>
      <c r="H10" s="2" t="s">
        <v>22</v>
      </c>
      <c r="I10" s="2" t="s">
        <v>50</v>
      </c>
      <c r="K10" s="20" t="s">
        <v>224</v>
      </c>
    </row>
    <row r="11" spans="1:11" ht="28.8" x14ac:dyDescent="0.3">
      <c r="A11" s="2">
        <v>1008</v>
      </c>
      <c r="B11" s="15">
        <v>45300</v>
      </c>
      <c r="C11" s="2" t="s">
        <v>127</v>
      </c>
      <c r="D11" s="2" t="s">
        <v>220</v>
      </c>
      <c r="E11" s="2">
        <v>25</v>
      </c>
      <c r="F11" s="2">
        <v>30</v>
      </c>
      <c r="G11" s="2">
        <v>750</v>
      </c>
      <c r="H11" s="2" t="s">
        <v>18</v>
      </c>
      <c r="I11" s="2" t="s">
        <v>94</v>
      </c>
      <c r="K11" s="20" t="s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94FC-92CD-406B-91C1-0471B505E2A3}">
  <dimension ref="A1:M9"/>
  <sheetViews>
    <sheetView workbookViewId="0">
      <selection activeCell="G15" sqref="G15"/>
    </sheetView>
  </sheetViews>
  <sheetFormatPr defaultRowHeight="14.4" x14ac:dyDescent="0.3"/>
  <cols>
    <col min="1" max="1" width="9.21875" bestFit="1" customWidth="1"/>
    <col min="2" max="2" width="7.44140625" bestFit="1" customWidth="1"/>
    <col min="3" max="3" width="6.77734375" bestFit="1" customWidth="1"/>
    <col min="4" max="5" width="8.33203125" bestFit="1" customWidth="1"/>
    <col min="6" max="6" width="5.21875" bestFit="1" customWidth="1"/>
    <col min="7" max="7" width="8.44140625" bestFit="1" customWidth="1"/>
    <col min="8" max="8" width="6.21875" bestFit="1" customWidth="1"/>
    <col min="9" max="9" width="2.44140625" bestFit="1" customWidth="1"/>
    <col min="10" max="10" width="4.77734375" bestFit="1" customWidth="1"/>
    <col min="11" max="11" width="3.44140625" bestFit="1" customWidth="1"/>
    <col min="12" max="12" width="4.6640625" bestFit="1" customWidth="1"/>
    <col min="13" max="13" width="3.44140625" bestFit="1" customWidth="1"/>
  </cols>
  <sheetData>
    <row r="1" spans="1:13" ht="57.6" x14ac:dyDescent="0.3">
      <c r="A1" s="1" t="s">
        <v>133</v>
      </c>
      <c r="B1" s="1" t="s">
        <v>162</v>
      </c>
      <c r="C1" s="1" t="s">
        <v>3</v>
      </c>
      <c r="D1" s="1" t="s">
        <v>163</v>
      </c>
      <c r="E1" s="1" t="s">
        <v>164</v>
      </c>
      <c r="F1" s="1" t="s">
        <v>6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</row>
    <row r="2" spans="1:13" x14ac:dyDescent="0.3">
      <c r="A2" s="15">
        <v>45931</v>
      </c>
      <c r="B2" s="2" t="s">
        <v>172</v>
      </c>
      <c r="C2" s="2" t="s">
        <v>10</v>
      </c>
      <c r="D2" s="2">
        <v>120</v>
      </c>
      <c r="E2" s="2">
        <v>25</v>
      </c>
      <c r="F2" s="2">
        <v>3000</v>
      </c>
      <c r="G2" s="2" t="s">
        <v>173</v>
      </c>
      <c r="H2" s="2" t="b">
        <v>1</v>
      </c>
    </row>
    <row r="3" spans="1:13" x14ac:dyDescent="0.3">
      <c r="A3" s="15">
        <v>45931</v>
      </c>
      <c r="B3" s="2" t="s">
        <v>174</v>
      </c>
      <c r="C3" s="2" t="s">
        <v>14</v>
      </c>
      <c r="D3" s="2">
        <v>80</v>
      </c>
      <c r="E3" s="2">
        <v>20</v>
      </c>
      <c r="F3" s="2">
        <v>1600</v>
      </c>
      <c r="G3" s="2" t="s">
        <v>175</v>
      </c>
      <c r="H3" s="2" t="b">
        <v>1</v>
      </c>
    </row>
    <row r="4" spans="1:13" x14ac:dyDescent="0.3">
      <c r="A4" s="15">
        <v>45931</v>
      </c>
      <c r="B4" s="2" t="s">
        <v>176</v>
      </c>
      <c r="C4" s="2" t="s">
        <v>18</v>
      </c>
      <c r="D4" s="2">
        <v>150</v>
      </c>
      <c r="E4" s="2">
        <v>22</v>
      </c>
      <c r="F4" s="2">
        <v>3300</v>
      </c>
      <c r="G4" s="2" t="s">
        <v>177</v>
      </c>
      <c r="H4" s="2" t="b">
        <v>1</v>
      </c>
    </row>
    <row r="5" spans="1:13" x14ac:dyDescent="0.3">
      <c r="A5" s="15">
        <v>45931</v>
      </c>
      <c r="B5" s="2" t="s">
        <v>101</v>
      </c>
      <c r="C5" s="2" t="s">
        <v>22</v>
      </c>
      <c r="D5" s="2">
        <v>60</v>
      </c>
      <c r="E5" s="2">
        <v>30</v>
      </c>
      <c r="F5" s="2">
        <v>1800</v>
      </c>
      <c r="G5" s="2" t="s">
        <v>178</v>
      </c>
      <c r="H5" s="2" t="b">
        <v>0</v>
      </c>
    </row>
    <row r="6" spans="1:13" x14ac:dyDescent="0.3">
      <c r="A6" s="15">
        <v>45932</v>
      </c>
      <c r="B6" s="2" t="s">
        <v>172</v>
      </c>
      <c r="C6" s="2" t="s">
        <v>10</v>
      </c>
      <c r="D6" s="2">
        <v>140</v>
      </c>
      <c r="E6" s="2">
        <v>25</v>
      </c>
      <c r="F6" s="2">
        <v>3500</v>
      </c>
      <c r="G6" s="2" t="s">
        <v>175</v>
      </c>
      <c r="H6" s="2" t="b">
        <v>1</v>
      </c>
    </row>
    <row r="7" spans="1:13" x14ac:dyDescent="0.3">
      <c r="A7" s="15">
        <v>45932</v>
      </c>
      <c r="B7" s="2" t="s">
        <v>174</v>
      </c>
      <c r="C7" s="2" t="s">
        <v>14</v>
      </c>
      <c r="D7" s="2">
        <v>90</v>
      </c>
      <c r="E7" s="2">
        <v>20</v>
      </c>
      <c r="F7" s="2">
        <v>1800</v>
      </c>
      <c r="G7" s="2" t="s">
        <v>173</v>
      </c>
      <c r="H7" s="2" t="b">
        <v>1</v>
      </c>
    </row>
    <row r="8" spans="1:13" x14ac:dyDescent="0.3">
      <c r="A8" s="15">
        <v>45932</v>
      </c>
      <c r="B8" s="2" t="s">
        <v>176</v>
      </c>
      <c r="C8" s="2" t="s">
        <v>18</v>
      </c>
      <c r="D8" s="2">
        <v>160</v>
      </c>
      <c r="E8" s="2">
        <v>22</v>
      </c>
      <c r="F8" s="2">
        <v>3520</v>
      </c>
      <c r="G8" s="2" t="s">
        <v>175</v>
      </c>
      <c r="H8" s="2" t="b">
        <v>1</v>
      </c>
    </row>
    <row r="9" spans="1:13" x14ac:dyDescent="0.3">
      <c r="A9" s="15">
        <v>45932</v>
      </c>
      <c r="B9" s="2" t="s">
        <v>101</v>
      </c>
      <c r="C9" s="2" t="s">
        <v>22</v>
      </c>
      <c r="D9" s="2">
        <v>70</v>
      </c>
      <c r="E9" s="2">
        <v>30</v>
      </c>
      <c r="F9" s="2">
        <v>2100</v>
      </c>
      <c r="G9" s="2" t="s">
        <v>177</v>
      </c>
      <c r="H9" s="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7CDF-7EB5-4D3B-BB58-8D4814A1E0A9}">
  <dimension ref="A1:H11"/>
  <sheetViews>
    <sheetView workbookViewId="0">
      <selection activeCell="I1" sqref="I1"/>
    </sheetView>
  </sheetViews>
  <sheetFormatPr defaultRowHeight="14.4" x14ac:dyDescent="0.3"/>
  <cols>
    <col min="1" max="1" width="8.109375" bestFit="1" customWidth="1"/>
    <col min="2" max="2" width="10.6640625" bestFit="1" customWidth="1"/>
    <col min="3" max="3" width="11.6640625" bestFit="1" customWidth="1"/>
    <col min="4" max="4" width="11.44140625" bestFit="1" customWidth="1"/>
    <col min="5" max="5" width="10.33203125" bestFit="1" customWidth="1"/>
    <col min="6" max="6" width="7.77734375" bestFit="1" customWidth="1"/>
    <col min="7" max="7" width="8.33203125" bestFit="1" customWidth="1"/>
    <col min="8" max="8" width="13.77734375" bestFit="1" customWidth="1"/>
  </cols>
  <sheetData>
    <row r="1" spans="1:8" ht="18" x14ac:dyDescent="0.35">
      <c r="A1" s="23" t="s">
        <v>108</v>
      </c>
      <c r="B1" s="23" t="s">
        <v>2</v>
      </c>
      <c r="C1" s="23" t="s">
        <v>109</v>
      </c>
      <c r="D1" s="23" t="s">
        <v>5</v>
      </c>
      <c r="E1" s="23" t="s">
        <v>110</v>
      </c>
      <c r="F1" s="23" t="s">
        <v>36</v>
      </c>
      <c r="G1" s="23" t="s">
        <v>3</v>
      </c>
      <c r="H1" s="23" t="s">
        <v>1</v>
      </c>
    </row>
    <row r="2" spans="1:8" x14ac:dyDescent="0.3">
      <c r="A2" t="s">
        <v>126</v>
      </c>
      <c r="B2" t="s">
        <v>127</v>
      </c>
      <c r="C2">
        <v>120</v>
      </c>
      <c r="D2">
        <v>30</v>
      </c>
      <c r="E2">
        <v>3600</v>
      </c>
      <c r="F2">
        <v>3400</v>
      </c>
      <c r="G2" t="s">
        <v>18</v>
      </c>
      <c r="H2" t="s">
        <v>94</v>
      </c>
    </row>
    <row r="3" spans="1:8" x14ac:dyDescent="0.3">
      <c r="A3" t="s">
        <v>124</v>
      </c>
      <c r="B3" t="s">
        <v>125</v>
      </c>
      <c r="C3">
        <v>70</v>
      </c>
      <c r="D3">
        <v>50</v>
      </c>
      <c r="E3">
        <v>3500</v>
      </c>
      <c r="F3">
        <v>4000</v>
      </c>
      <c r="G3" t="s">
        <v>14</v>
      </c>
      <c r="H3" t="s">
        <v>54</v>
      </c>
    </row>
    <row r="4" spans="1:8" x14ac:dyDescent="0.3">
      <c r="A4" t="s">
        <v>116</v>
      </c>
      <c r="B4" t="s">
        <v>117</v>
      </c>
      <c r="C4">
        <v>80</v>
      </c>
      <c r="D4">
        <v>40</v>
      </c>
      <c r="E4">
        <v>3200</v>
      </c>
      <c r="F4">
        <v>3500</v>
      </c>
      <c r="G4" t="s">
        <v>14</v>
      </c>
      <c r="H4" t="s">
        <v>54</v>
      </c>
    </row>
    <row r="5" spans="1:8" x14ac:dyDescent="0.3">
      <c r="A5" t="s">
        <v>128</v>
      </c>
      <c r="B5" t="s">
        <v>129</v>
      </c>
      <c r="C5">
        <v>90</v>
      </c>
      <c r="D5">
        <v>35</v>
      </c>
      <c r="E5">
        <v>3150</v>
      </c>
      <c r="F5">
        <v>3000</v>
      </c>
      <c r="G5" t="s">
        <v>22</v>
      </c>
      <c r="H5" t="s">
        <v>50</v>
      </c>
    </row>
    <row r="6" spans="1:8" x14ac:dyDescent="0.3">
      <c r="A6" t="s">
        <v>111</v>
      </c>
      <c r="B6" t="s">
        <v>112</v>
      </c>
      <c r="C6">
        <v>120</v>
      </c>
      <c r="D6">
        <v>25</v>
      </c>
      <c r="E6">
        <v>3000</v>
      </c>
      <c r="F6">
        <v>2800</v>
      </c>
      <c r="G6" t="s">
        <v>22</v>
      </c>
      <c r="H6" t="s">
        <v>50</v>
      </c>
    </row>
    <row r="7" spans="1:8" x14ac:dyDescent="0.3">
      <c r="A7" t="s">
        <v>113</v>
      </c>
      <c r="B7" t="s">
        <v>114</v>
      </c>
      <c r="C7">
        <v>150</v>
      </c>
      <c r="D7">
        <v>20</v>
      </c>
      <c r="E7">
        <v>3000</v>
      </c>
      <c r="F7">
        <v>2500</v>
      </c>
      <c r="H7" t="s">
        <v>115</v>
      </c>
    </row>
    <row r="8" spans="1:8" x14ac:dyDescent="0.3">
      <c r="A8" t="s">
        <v>118</v>
      </c>
      <c r="B8" t="s">
        <v>119</v>
      </c>
      <c r="C8">
        <v>200</v>
      </c>
      <c r="D8">
        <v>15</v>
      </c>
      <c r="E8">
        <v>3000</v>
      </c>
      <c r="F8">
        <v>2700</v>
      </c>
      <c r="G8" t="s">
        <v>18</v>
      </c>
      <c r="H8" t="s">
        <v>94</v>
      </c>
    </row>
    <row r="9" spans="1:8" x14ac:dyDescent="0.3">
      <c r="A9" t="s">
        <v>130</v>
      </c>
      <c r="B9" t="s">
        <v>131</v>
      </c>
      <c r="C9">
        <v>60</v>
      </c>
      <c r="D9">
        <v>45</v>
      </c>
      <c r="E9">
        <v>2700</v>
      </c>
      <c r="F9">
        <v>2800</v>
      </c>
      <c r="G9" t="s">
        <v>10</v>
      </c>
      <c r="H9" t="s">
        <v>115</v>
      </c>
    </row>
    <row r="10" spans="1:8" x14ac:dyDescent="0.3">
      <c r="A10" t="s">
        <v>120</v>
      </c>
      <c r="B10" t="s">
        <v>121</v>
      </c>
      <c r="C10">
        <v>250</v>
      </c>
      <c r="D10">
        <v>10</v>
      </c>
      <c r="E10">
        <v>2500</v>
      </c>
      <c r="F10">
        <v>2300</v>
      </c>
      <c r="G10" t="s">
        <v>22</v>
      </c>
      <c r="H10" t="s">
        <v>58</v>
      </c>
    </row>
    <row r="11" spans="1:8" x14ac:dyDescent="0.3">
      <c r="A11" t="s">
        <v>122</v>
      </c>
      <c r="B11" t="s">
        <v>123</v>
      </c>
      <c r="C11">
        <v>100</v>
      </c>
      <c r="D11">
        <v>25</v>
      </c>
      <c r="E11">
        <v>2500</v>
      </c>
      <c r="F11">
        <v>3000</v>
      </c>
      <c r="G11" t="s">
        <v>10</v>
      </c>
      <c r="H11" t="s">
        <v>115</v>
      </c>
    </row>
  </sheetData>
  <sortState xmlns:xlrd2="http://schemas.microsoft.com/office/spreadsheetml/2017/richdata2" ref="A2:H11">
    <sortCondition descending="1" ref="E1:E1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workbookViewId="0">
      <selection activeCell="J3" sqref="J3"/>
    </sheetView>
  </sheetViews>
  <sheetFormatPr defaultColWidth="8.77734375" defaultRowHeight="14.4" x14ac:dyDescent="0.3"/>
  <cols>
    <col min="1" max="1" width="11" bestFit="1" customWidth="1"/>
    <col min="2" max="3" width="11.5546875" bestFit="1" customWidth="1"/>
    <col min="4" max="4" width="7" bestFit="1" customWidth="1"/>
    <col min="5" max="5" width="8.33203125" bestFit="1" customWidth="1"/>
    <col min="6" max="6" width="9.109375" bestFit="1" customWidth="1"/>
    <col min="7" max="7" width="9.88671875" bestFit="1" customWidth="1"/>
    <col min="8" max="8" width="11.5546875" bestFit="1" customWidth="1"/>
    <col min="9" max="9" width="8.5546875" customWidth="1"/>
    <col min="10" max="10" width="11.5546875" bestFit="1" customWidth="1"/>
    <col min="11" max="11" width="12.44140625" customWidth="1"/>
  </cols>
  <sheetData>
    <row r="1" spans="1:11" x14ac:dyDescent="0.3">
      <c r="B1" t="s">
        <v>154</v>
      </c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35</v>
      </c>
      <c r="I2" s="3" t="s">
        <v>36</v>
      </c>
      <c r="J2" s="3" t="s">
        <v>34</v>
      </c>
      <c r="K2" s="3" t="s">
        <v>250</v>
      </c>
    </row>
    <row r="3" spans="1:11" x14ac:dyDescent="0.3">
      <c r="A3" s="4" t="s">
        <v>7</v>
      </c>
      <c r="B3" s="4" t="s">
        <v>8</v>
      </c>
      <c r="C3" s="4" t="s">
        <v>9</v>
      </c>
      <c r="D3" s="4" t="s">
        <v>10</v>
      </c>
      <c r="E3" s="4">
        <v>3</v>
      </c>
      <c r="F3" s="4">
        <v>50000</v>
      </c>
      <c r="G3" s="4">
        <v>150000</v>
      </c>
      <c r="H3" t="str">
        <f>VLOOKUP(B3,$A$15:$D$20,3,)</f>
        <v>N01</v>
      </c>
      <c r="I3">
        <f>VLOOKUP(B3,$A$15:$D$20,4,)</f>
        <v>120000</v>
      </c>
      <c r="J3" t="str">
        <f xml:space="preserve"> VLOOKUP(B3,$A$15:$D$20,2,)</f>
        <v>EMP101</v>
      </c>
      <c r="K3" t="str" cm="1">
        <f t="array" ref="K3">_xlfn.IFS(G3&gt;=I3*1.2,"Excellent",G3&gt;=I3,"Good",G3&gt;=I3*0.8,"Average",G3&lt;I3*0.8,"Poor")</f>
        <v>Excellent</v>
      </c>
    </row>
    <row r="4" spans="1:11" x14ac:dyDescent="0.3">
      <c r="A4" s="4" t="s">
        <v>11</v>
      </c>
      <c r="B4" s="4" t="s">
        <v>12</v>
      </c>
      <c r="C4" s="4" t="s">
        <v>13</v>
      </c>
      <c r="D4" s="4" t="s">
        <v>14</v>
      </c>
      <c r="E4" s="4">
        <v>10</v>
      </c>
      <c r="F4" s="4">
        <v>800</v>
      </c>
      <c r="G4" s="4">
        <v>8000</v>
      </c>
      <c r="H4" t="str">
        <f t="shared" ref="H4:H12" si="0">VLOOKUP(B4,$A$15:$D$20,3,)</f>
        <v>S01</v>
      </c>
      <c r="I4">
        <f t="shared" ref="I4:I12" si="1">VLOOKUP(B4,$A$15:$D$20,4,)</f>
        <v>15000</v>
      </c>
      <c r="J4" t="str">
        <f t="shared" ref="J4:J12" si="2" xml:space="preserve"> VLOOKUP(B4,$A$15:$D$20,2,)</f>
        <v>EMP102</v>
      </c>
      <c r="K4" t="str" cm="1">
        <f t="array" ref="K4">_xlfn.IFS(G4&gt;=I4*1.2,"Excellent",G4&gt;=I4,"Good",G4&gt;=I4*0.8,"Average",G4&lt;I4*0.8,"Poor")</f>
        <v>Poor</v>
      </c>
    </row>
    <row r="5" spans="1:11" x14ac:dyDescent="0.3">
      <c r="A5" s="4" t="s">
        <v>15</v>
      </c>
      <c r="B5" s="4" t="s">
        <v>16</v>
      </c>
      <c r="C5" s="4" t="s">
        <v>17</v>
      </c>
      <c r="D5" s="4" t="s">
        <v>18</v>
      </c>
      <c r="E5" s="4">
        <v>5</v>
      </c>
      <c r="F5" s="4">
        <v>20000</v>
      </c>
      <c r="G5" s="4">
        <v>100000</v>
      </c>
      <c r="H5" t="str">
        <f t="shared" si="0"/>
        <v>E01</v>
      </c>
      <c r="I5">
        <f t="shared" si="1"/>
        <v>90000</v>
      </c>
      <c r="J5" t="str">
        <f t="shared" si="2"/>
        <v>EMP103</v>
      </c>
      <c r="K5" t="str" cm="1">
        <f t="array" ref="K5">_xlfn.IFS(G5&gt;=I5*1.2,"Excellent",G5&gt;=I5,"Good",G5&gt;=I5*0.8,"Average",G5&lt;I5*0.8,"Poor")</f>
        <v>Good</v>
      </c>
    </row>
    <row r="6" spans="1:11" x14ac:dyDescent="0.3">
      <c r="A6" s="4" t="s">
        <v>19</v>
      </c>
      <c r="B6" s="4" t="s">
        <v>20</v>
      </c>
      <c r="C6" s="4" t="s">
        <v>21</v>
      </c>
      <c r="D6" s="4" t="s">
        <v>22</v>
      </c>
      <c r="E6" s="4">
        <v>8</v>
      </c>
      <c r="F6" s="4">
        <v>2500</v>
      </c>
      <c r="G6" s="4">
        <v>20000</v>
      </c>
      <c r="H6" t="str">
        <f t="shared" si="0"/>
        <v>W01</v>
      </c>
      <c r="I6">
        <f t="shared" si="1"/>
        <v>70000</v>
      </c>
      <c r="J6" t="str">
        <f t="shared" si="2"/>
        <v>EMP104</v>
      </c>
      <c r="K6" t="str" cm="1">
        <f t="array" ref="K6">_xlfn.IFS(G6&gt;=I6*1.2,"Excellent",G6&gt;=I6,"Good",G6&gt;=I6*0.8,"Average",G6&lt;I6*0.8,"Poor")</f>
        <v>Poor</v>
      </c>
    </row>
    <row r="7" spans="1:11" x14ac:dyDescent="0.3">
      <c r="A7" s="4" t="s">
        <v>23</v>
      </c>
      <c r="B7" s="4" t="s">
        <v>8</v>
      </c>
      <c r="C7" s="4" t="s">
        <v>24</v>
      </c>
      <c r="D7" s="4" t="s">
        <v>10</v>
      </c>
      <c r="E7" s="4">
        <v>2</v>
      </c>
      <c r="F7" s="4">
        <v>15000</v>
      </c>
      <c r="G7" s="4">
        <v>30000</v>
      </c>
      <c r="H7" t="str">
        <f t="shared" si="0"/>
        <v>N01</v>
      </c>
      <c r="I7">
        <f t="shared" si="1"/>
        <v>120000</v>
      </c>
      <c r="J7" t="str">
        <f t="shared" si="2"/>
        <v>EMP101</v>
      </c>
      <c r="K7" t="str" cm="1">
        <f t="array" ref="K7">_xlfn.IFS(G7&gt;=I7*1.2,"Excellent",G7&gt;=I7,"Good",G7&gt;=I7*0.8,"Average",G7&lt;I7*0.8,"Poor")</f>
        <v>Poor</v>
      </c>
    </row>
    <row r="8" spans="1:11" x14ac:dyDescent="0.3">
      <c r="A8" s="4" t="s">
        <v>25</v>
      </c>
      <c r="B8" s="4" t="s">
        <v>12</v>
      </c>
      <c r="C8" s="4" t="s">
        <v>26</v>
      </c>
      <c r="D8" s="4" t="s">
        <v>14</v>
      </c>
      <c r="E8" s="4">
        <v>6</v>
      </c>
      <c r="F8" s="4">
        <v>1200</v>
      </c>
      <c r="G8" s="4">
        <v>7200</v>
      </c>
      <c r="H8" t="str">
        <f t="shared" si="0"/>
        <v>S01</v>
      </c>
      <c r="I8">
        <f t="shared" si="1"/>
        <v>15000</v>
      </c>
      <c r="J8" t="str">
        <f t="shared" si="2"/>
        <v>EMP102</v>
      </c>
      <c r="K8" t="str" cm="1">
        <f t="array" ref="K8">_xlfn.IFS(G8&gt;=I8*1.2,"Excellent",G8&gt;=I8,"Good",G8&gt;=I8*0.8,"Average",G8&lt;I8*0.8,"Poor")</f>
        <v>Poor</v>
      </c>
    </row>
    <row r="9" spans="1:11" x14ac:dyDescent="0.3">
      <c r="A9" s="4" t="s">
        <v>27</v>
      </c>
      <c r="B9" s="4" t="s">
        <v>16</v>
      </c>
      <c r="C9" s="4" t="s">
        <v>28</v>
      </c>
      <c r="D9" s="4" t="s">
        <v>18</v>
      </c>
      <c r="E9" s="4">
        <v>4</v>
      </c>
      <c r="F9" s="4">
        <v>25000</v>
      </c>
      <c r="G9" s="4">
        <v>100000</v>
      </c>
      <c r="H9" t="str">
        <f t="shared" si="0"/>
        <v>E01</v>
      </c>
      <c r="I9">
        <f t="shared" si="1"/>
        <v>90000</v>
      </c>
      <c r="J9" t="str">
        <f t="shared" si="2"/>
        <v>EMP103</v>
      </c>
      <c r="K9" t="str" cm="1">
        <f t="array" ref="K9">_xlfn.IFS(G9&gt;=I9*1.2,"Excellent",G9&gt;=I9,"Good",G9&gt;=I9*0.8,"Average",G9&lt;I9*0.8,"Poor")</f>
        <v>Good</v>
      </c>
    </row>
    <row r="10" spans="1:11" x14ac:dyDescent="0.3">
      <c r="A10" s="4" t="s">
        <v>29</v>
      </c>
      <c r="B10" s="4" t="s">
        <v>20</v>
      </c>
      <c r="C10" s="4" t="s">
        <v>9</v>
      </c>
      <c r="D10" s="4" t="s">
        <v>22</v>
      </c>
      <c r="E10" s="4">
        <v>1</v>
      </c>
      <c r="F10" s="4">
        <v>52000</v>
      </c>
      <c r="G10" s="4">
        <v>52000</v>
      </c>
      <c r="H10" t="str">
        <f t="shared" si="0"/>
        <v>W01</v>
      </c>
      <c r="I10">
        <f t="shared" si="1"/>
        <v>70000</v>
      </c>
      <c r="J10" t="str">
        <f t="shared" si="2"/>
        <v>EMP104</v>
      </c>
      <c r="K10" t="str" cm="1">
        <f t="array" ref="K10">_xlfn.IFS(G10&gt;=I10*1.2,"Excellent",G10&gt;=I10,"Good",G10&gt;=I10*0.8,"Average",G10&lt;I10*0.8,"Poor")</f>
        <v>Poor</v>
      </c>
    </row>
    <row r="11" spans="1:11" x14ac:dyDescent="0.3">
      <c r="A11" s="4" t="s">
        <v>30</v>
      </c>
      <c r="B11" s="4" t="s">
        <v>31</v>
      </c>
      <c r="C11" s="4" t="s">
        <v>13</v>
      </c>
      <c r="D11" s="4" t="s">
        <v>32</v>
      </c>
      <c r="E11" s="4">
        <v>7</v>
      </c>
      <c r="F11" s="4">
        <v>850</v>
      </c>
      <c r="G11" s="4">
        <v>5950</v>
      </c>
      <c r="H11" t="str">
        <f t="shared" si="0"/>
        <v>C01</v>
      </c>
      <c r="I11">
        <f t="shared" si="1"/>
        <v>20000</v>
      </c>
      <c r="J11" t="str">
        <f t="shared" si="2"/>
        <v>EMP105</v>
      </c>
      <c r="K11" t="str" cm="1">
        <f t="array" ref="K11">_xlfn.IFS(G11&gt;=I11*1.2,"Excellent",G11&gt;=I11,"Good",G11&gt;=I11*0.8,"Average",G11&lt;I11*0.8,"Poor")</f>
        <v>Poor</v>
      </c>
    </row>
    <row r="12" spans="1:11" x14ac:dyDescent="0.3">
      <c r="A12" s="4" t="s">
        <v>33</v>
      </c>
      <c r="B12" s="4" t="s">
        <v>8</v>
      </c>
      <c r="C12" s="4" t="s">
        <v>17</v>
      </c>
      <c r="D12" s="4" t="s">
        <v>10</v>
      </c>
      <c r="E12" s="4">
        <v>3</v>
      </c>
      <c r="F12" s="4">
        <v>21000</v>
      </c>
      <c r="G12" s="4">
        <v>63000</v>
      </c>
      <c r="H12" t="str">
        <f t="shared" si="0"/>
        <v>N01</v>
      </c>
      <c r="I12">
        <f t="shared" si="1"/>
        <v>120000</v>
      </c>
      <c r="J12" t="str">
        <f t="shared" si="2"/>
        <v>EMP101</v>
      </c>
      <c r="K12" t="str" cm="1">
        <f t="array" ref="K12">_xlfn.IFS(G12&gt;=I12*1.2,"Excellent",G12&gt;=I12,"Good",G12&gt;=I12*0.8,"Average",G12&lt;I12*0.8,"Poor")</f>
        <v>Poor</v>
      </c>
    </row>
    <row r="14" spans="1:11" x14ac:dyDescent="0.3">
      <c r="A14" s="4" t="s">
        <v>155</v>
      </c>
    </row>
    <row r="15" spans="1:11" x14ac:dyDescent="0.3">
      <c r="A15" s="3" t="s">
        <v>1</v>
      </c>
      <c r="B15" s="3" t="s">
        <v>34</v>
      </c>
      <c r="C15" s="3" t="s">
        <v>35</v>
      </c>
      <c r="D15" s="3" t="s">
        <v>36</v>
      </c>
    </row>
    <row r="16" spans="1:11" x14ac:dyDescent="0.3">
      <c r="A16" s="4" t="s">
        <v>8</v>
      </c>
      <c r="B16" s="4" t="s">
        <v>37</v>
      </c>
      <c r="C16" s="4" t="s">
        <v>38</v>
      </c>
      <c r="D16" s="4">
        <v>120000</v>
      </c>
    </row>
    <row r="17" spans="1:22" x14ac:dyDescent="0.3">
      <c r="A17" s="4" t="s">
        <v>12</v>
      </c>
      <c r="B17" s="4" t="s">
        <v>39</v>
      </c>
      <c r="C17" s="4" t="s">
        <v>40</v>
      </c>
      <c r="D17" s="4">
        <v>15000</v>
      </c>
    </row>
    <row r="18" spans="1:22" x14ac:dyDescent="0.3">
      <c r="A18" s="4" t="s">
        <v>16</v>
      </c>
      <c r="B18" s="4" t="s">
        <v>41</v>
      </c>
      <c r="C18" s="4" t="s">
        <v>42</v>
      </c>
      <c r="D18" s="4">
        <v>90000</v>
      </c>
    </row>
    <row r="19" spans="1:22" ht="23.4" x14ac:dyDescent="0.45">
      <c r="A19" s="4" t="s">
        <v>20</v>
      </c>
      <c r="B19" s="4" t="s">
        <v>43</v>
      </c>
      <c r="C19" s="4" t="s">
        <v>44</v>
      </c>
      <c r="D19" s="4">
        <v>70000</v>
      </c>
      <c r="I19" s="29" t="s">
        <v>248</v>
      </c>
      <c r="J19" s="29"/>
    </row>
    <row r="20" spans="1:22" x14ac:dyDescent="0.3">
      <c r="A20" s="4" t="s">
        <v>31</v>
      </c>
      <c r="B20" s="4" t="s">
        <v>45</v>
      </c>
      <c r="C20" s="4" t="s">
        <v>46</v>
      </c>
      <c r="D20" s="4">
        <v>20000</v>
      </c>
    </row>
    <row r="21" spans="1:22" ht="18" thickBot="1" x14ac:dyDescent="0.4">
      <c r="I21" s="30" t="s">
        <v>249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1"/>
      <c r="U21" s="31"/>
      <c r="V21" s="31"/>
    </row>
    <row r="22" spans="1:22" ht="15" thickTop="1" x14ac:dyDescent="0.3"/>
    <row r="23" spans="1:22" x14ac:dyDescent="0.3">
      <c r="B23" s="1"/>
      <c r="C23" s="1"/>
      <c r="D23" s="1"/>
      <c r="E23" s="1"/>
      <c r="F23" s="1"/>
    </row>
    <row r="24" spans="1:22" x14ac:dyDescent="0.3">
      <c r="B24" s="2"/>
      <c r="C24" s="2"/>
      <c r="D24" s="2"/>
      <c r="E24" s="2"/>
      <c r="F24" s="2"/>
    </row>
  </sheetData>
  <conditionalFormatting sqref="K1:K1048576">
    <cfRule type="cellIs" dxfId="2" priority="1" operator="equal">
      <formula>"Good"</formula>
    </cfRule>
    <cfRule type="cellIs" dxfId="1" priority="2" operator="equal">
      <formula>"Excellent"</formula>
    </cfRule>
    <cfRule type="cellIs" dxfId="0" priority="3" operator="equal">
      <formula>"Poor"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7770-2751-4C52-9B4E-2E8D9CFA7B59}">
  <dimension ref="A1:J19"/>
  <sheetViews>
    <sheetView tabSelected="1" workbookViewId="0">
      <selection activeCell="H2" sqref="H2"/>
    </sheetView>
  </sheetViews>
  <sheetFormatPr defaultRowHeight="14.4" x14ac:dyDescent="0.3"/>
  <cols>
    <col min="1" max="1" width="8" bestFit="1" customWidth="1"/>
    <col min="2" max="3" width="11.5546875" bestFit="1" customWidth="1"/>
    <col min="4" max="4" width="7" bestFit="1" customWidth="1"/>
    <col min="5" max="5" width="11" bestFit="1" customWidth="1"/>
    <col min="6" max="6" width="9.109375" bestFit="1" customWidth="1"/>
    <col min="7" max="7" width="9.88671875" bestFit="1" customWidth="1"/>
    <col min="8" max="8" width="11.5546875" bestFit="1" customWidth="1"/>
    <col min="9" max="9" width="7.44140625" customWidth="1"/>
    <col min="10" max="10" width="11.5546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35</v>
      </c>
      <c r="I1" s="3" t="s">
        <v>36</v>
      </c>
      <c r="J1" s="3" t="s">
        <v>34</v>
      </c>
    </row>
    <row r="2" spans="1:10" x14ac:dyDescent="0.3">
      <c r="A2" s="4" t="s">
        <v>7</v>
      </c>
      <c r="B2" s="4" t="s">
        <v>8</v>
      </c>
      <c r="C2" s="4" t="s">
        <v>9</v>
      </c>
      <c r="D2" s="4" t="s">
        <v>10</v>
      </c>
      <c r="E2" s="4">
        <v>3</v>
      </c>
      <c r="F2" s="4">
        <v>50000</v>
      </c>
      <c r="G2" s="4">
        <v>150000</v>
      </c>
      <c r="H2" t="str">
        <f>_xlfn.XLOOKUP(B2,$E$14:$E$19,$C$14:$C$19)</f>
        <v>N01</v>
      </c>
      <c r="I2">
        <f>_xlfn.XLOOKUP(B2,$E$14:$E$19,$D$14:$D$19)</f>
        <v>120000</v>
      </c>
      <c r="J2" t="str">
        <f>_xlfn.XLOOKUP(H2,$C$14:$C$19,$B$14:$B$19)</f>
        <v>EMP101</v>
      </c>
    </row>
    <row r="3" spans="1:10" x14ac:dyDescent="0.3">
      <c r="A3" s="4" t="s">
        <v>11</v>
      </c>
      <c r="B3" s="4" t="s">
        <v>12</v>
      </c>
      <c r="C3" s="4" t="s">
        <v>13</v>
      </c>
      <c r="D3" s="4" t="s">
        <v>14</v>
      </c>
      <c r="E3" s="4">
        <v>10</v>
      </c>
      <c r="F3" s="4">
        <v>800</v>
      </c>
      <c r="G3" s="4">
        <v>8000</v>
      </c>
      <c r="H3" t="str">
        <f>_xlfn.XLOOKUP(B3,$E$14:$E$19,$C$14:$C$19)</f>
        <v>S01</v>
      </c>
      <c r="I3">
        <f>_xlfn.XLOOKUP(B3,$E$14:$E$19,$D$14:$D$19)</f>
        <v>15000</v>
      </c>
      <c r="J3" t="str">
        <f t="shared" ref="J3:J11" si="0">_xlfn.XLOOKUP(H3,$C$14:$C$19,$B$14:$B$19)</f>
        <v>EMP102</v>
      </c>
    </row>
    <row r="4" spans="1:10" x14ac:dyDescent="0.3">
      <c r="A4" s="4" t="s">
        <v>15</v>
      </c>
      <c r="B4" s="4" t="s">
        <v>16</v>
      </c>
      <c r="C4" s="4" t="s">
        <v>17</v>
      </c>
      <c r="D4" s="4" t="s">
        <v>18</v>
      </c>
      <c r="E4" s="4">
        <v>5</v>
      </c>
      <c r="F4" s="4">
        <v>20000</v>
      </c>
      <c r="G4" s="4">
        <v>100000</v>
      </c>
      <c r="H4" t="str">
        <f>_xlfn.XLOOKUP(B4,$E$14:$E$19,$C$14:$C$19)</f>
        <v>E01</v>
      </c>
      <c r="I4">
        <f>_xlfn.XLOOKUP(B4,$E$14:$E$19,$D$14:$D$19)</f>
        <v>90000</v>
      </c>
      <c r="J4" t="str">
        <f t="shared" si="0"/>
        <v>EMP103</v>
      </c>
    </row>
    <row r="5" spans="1:10" x14ac:dyDescent="0.3">
      <c r="A5" s="4" t="s">
        <v>19</v>
      </c>
      <c r="B5" s="4" t="s">
        <v>20</v>
      </c>
      <c r="C5" s="4" t="s">
        <v>21</v>
      </c>
      <c r="D5" s="4" t="s">
        <v>22</v>
      </c>
      <c r="E5" s="4">
        <v>8</v>
      </c>
      <c r="F5" s="4">
        <v>2500</v>
      </c>
      <c r="G5" s="4">
        <v>20000</v>
      </c>
      <c r="H5" t="str">
        <f>_xlfn.XLOOKUP(B5,$E$14:$E$19,$C$14:$C$19)</f>
        <v>W01</v>
      </c>
      <c r="I5">
        <f>_xlfn.XLOOKUP(B5,$E$14:$E$19,$D$14:$D$19)</f>
        <v>70000</v>
      </c>
      <c r="J5" t="str">
        <f t="shared" si="0"/>
        <v>EMP104</v>
      </c>
    </row>
    <row r="6" spans="1:10" x14ac:dyDescent="0.3">
      <c r="A6" s="4" t="s">
        <v>23</v>
      </c>
      <c r="B6" s="4" t="s">
        <v>8</v>
      </c>
      <c r="C6" s="4" t="s">
        <v>24</v>
      </c>
      <c r="D6" s="4" t="s">
        <v>10</v>
      </c>
      <c r="E6" s="4">
        <v>2</v>
      </c>
      <c r="F6" s="4">
        <v>15000</v>
      </c>
      <c r="G6" s="4">
        <v>30000</v>
      </c>
      <c r="H6" t="str">
        <f>_xlfn.XLOOKUP(B6,$E$14:$E$19,$C$14:$C$19)</f>
        <v>N01</v>
      </c>
      <c r="I6">
        <f>_xlfn.XLOOKUP(B6,$E$14:$E$19,$D$14:$D$19)</f>
        <v>120000</v>
      </c>
      <c r="J6" t="str">
        <f t="shared" si="0"/>
        <v>EMP101</v>
      </c>
    </row>
    <row r="7" spans="1:10" x14ac:dyDescent="0.3">
      <c r="A7" s="4" t="s">
        <v>25</v>
      </c>
      <c r="B7" s="4" t="s">
        <v>12</v>
      </c>
      <c r="C7" s="4" t="s">
        <v>26</v>
      </c>
      <c r="D7" s="4" t="s">
        <v>14</v>
      </c>
      <c r="E7" s="4">
        <v>6</v>
      </c>
      <c r="F7" s="4">
        <v>1200</v>
      </c>
      <c r="G7" s="4">
        <v>7200</v>
      </c>
      <c r="H7" t="str">
        <f>_xlfn.XLOOKUP(B7,$E$14:$E$19,$C$14:$C$19)</f>
        <v>S01</v>
      </c>
      <c r="I7">
        <f>_xlfn.XLOOKUP(B7,$E$14:$E$19,$D$14:$D$19)</f>
        <v>15000</v>
      </c>
      <c r="J7" t="str">
        <f t="shared" si="0"/>
        <v>EMP102</v>
      </c>
    </row>
    <row r="8" spans="1:10" x14ac:dyDescent="0.3">
      <c r="A8" s="4" t="s">
        <v>27</v>
      </c>
      <c r="B8" s="4" t="s">
        <v>16</v>
      </c>
      <c r="C8" s="4" t="s">
        <v>28</v>
      </c>
      <c r="D8" s="4" t="s">
        <v>18</v>
      </c>
      <c r="E8" s="4">
        <v>4</v>
      </c>
      <c r="F8" s="4">
        <v>25000</v>
      </c>
      <c r="G8" s="4">
        <v>100000</v>
      </c>
      <c r="H8" t="str">
        <f>_xlfn.XLOOKUP(B8,$E$14:$E$19,$C$14:$C$19)</f>
        <v>E01</v>
      </c>
      <c r="I8">
        <f>_xlfn.XLOOKUP(B8,$E$14:$E$19,$D$14:$D$19)</f>
        <v>90000</v>
      </c>
      <c r="J8" t="str">
        <f t="shared" si="0"/>
        <v>EMP103</v>
      </c>
    </row>
    <row r="9" spans="1:10" x14ac:dyDescent="0.3">
      <c r="A9" s="4" t="s">
        <v>29</v>
      </c>
      <c r="B9" s="4" t="s">
        <v>20</v>
      </c>
      <c r="C9" s="4" t="s">
        <v>9</v>
      </c>
      <c r="D9" s="4" t="s">
        <v>22</v>
      </c>
      <c r="E9" s="4">
        <v>1</v>
      </c>
      <c r="F9" s="4">
        <v>52000</v>
      </c>
      <c r="G9" s="4">
        <v>52000</v>
      </c>
      <c r="H9" t="str">
        <f>_xlfn.XLOOKUP(B9,$E$14:$E$19,$C$14:$C$19)</f>
        <v>W01</v>
      </c>
      <c r="I9">
        <f>_xlfn.XLOOKUP(B9,$E$14:$E$19,$D$14:$D$19)</f>
        <v>70000</v>
      </c>
      <c r="J9" t="str">
        <f t="shared" si="0"/>
        <v>EMP104</v>
      </c>
    </row>
    <row r="10" spans="1:10" x14ac:dyDescent="0.3">
      <c r="A10" s="4" t="s">
        <v>30</v>
      </c>
      <c r="B10" s="4" t="s">
        <v>31</v>
      </c>
      <c r="C10" s="4" t="s">
        <v>13</v>
      </c>
      <c r="D10" s="4" t="s">
        <v>32</v>
      </c>
      <c r="E10" s="4">
        <v>7</v>
      </c>
      <c r="F10" s="4">
        <v>850</v>
      </c>
      <c r="G10" s="4">
        <v>5950</v>
      </c>
      <c r="H10" t="str">
        <f>_xlfn.XLOOKUP(B10,$E$14:$E$19,$C$14:$C$19)</f>
        <v>C01</v>
      </c>
      <c r="I10">
        <f>_xlfn.XLOOKUP(B10,$E$14:$E$19,$D$14:$D$19)</f>
        <v>20000</v>
      </c>
      <c r="J10" t="str">
        <f t="shared" si="0"/>
        <v>EMP105</v>
      </c>
    </row>
    <row r="11" spans="1:10" x14ac:dyDescent="0.3">
      <c r="A11" s="4" t="s">
        <v>33</v>
      </c>
      <c r="B11" s="4" t="s">
        <v>8</v>
      </c>
      <c r="C11" s="4" t="s">
        <v>17</v>
      </c>
      <c r="D11" s="4" t="s">
        <v>10</v>
      </c>
      <c r="E11" s="4">
        <v>3</v>
      </c>
      <c r="F11" s="4">
        <v>21000</v>
      </c>
      <c r="G11" s="4">
        <v>63000</v>
      </c>
      <c r="H11" t="str">
        <f>_xlfn.XLOOKUP(B11,$E$14:$E$19,$C$14:$C$19)</f>
        <v>N01</v>
      </c>
      <c r="I11">
        <f>_xlfn.XLOOKUP(B11,$E$14:$E$19,$D$14:$D$19)</f>
        <v>120000</v>
      </c>
      <c r="J11" t="str">
        <f t="shared" si="0"/>
        <v>EMP101</v>
      </c>
    </row>
    <row r="13" spans="1:10" x14ac:dyDescent="0.3">
      <c r="A13" s="4" t="s">
        <v>155</v>
      </c>
    </row>
    <row r="14" spans="1:10" x14ac:dyDescent="0.3">
      <c r="B14" s="3" t="s">
        <v>34</v>
      </c>
      <c r="C14" s="3" t="s">
        <v>35</v>
      </c>
      <c r="D14" s="3" t="s">
        <v>36</v>
      </c>
      <c r="E14" s="3" t="s">
        <v>1</v>
      </c>
    </row>
    <row r="15" spans="1:10" x14ac:dyDescent="0.3">
      <c r="B15" s="4" t="s">
        <v>37</v>
      </c>
      <c r="C15" s="4" t="s">
        <v>38</v>
      </c>
      <c r="D15" s="4">
        <v>120000</v>
      </c>
      <c r="E15" s="4" t="s">
        <v>8</v>
      </c>
    </row>
    <row r="16" spans="1:10" x14ac:dyDescent="0.3">
      <c r="B16" s="4" t="s">
        <v>39</v>
      </c>
      <c r="C16" s="4" t="s">
        <v>40</v>
      </c>
      <c r="D16" s="4">
        <v>15000</v>
      </c>
      <c r="E16" s="4" t="s">
        <v>12</v>
      </c>
    </row>
    <row r="17" spans="2:5" x14ac:dyDescent="0.3">
      <c r="B17" s="4" t="s">
        <v>41</v>
      </c>
      <c r="C17" s="4" t="s">
        <v>42</v>
      </c>
      <c r="D17" s="4">
        <v>90000</v>
      </c>
      <c r="E17" s="4" t="s">
        <v>16</v>
      </c>
    </row>
    <row r="18" spans="2:5" x14ac:dyDescent="0.3">
      <c r="B18" s="4" t="s">
        <v>43</v>
      </c>
      <c r="C18" s="4" t="s">
        <v>44</v>
      </c>
      <c r="D18" s="4">
        <v>70000</v>
      </c>
      <c r="E18" s="4" t="s">
        <v>20</v>
      </c>
    </row>
    <row r="19" spans="2:5" x14ac:dyDescent="0.3">
      <c r="B19" s="4" t="s">
        <v>45</v>
      </c>
      <c r="C19" s="4" t="s">
        <v>46</v>
      </c>
      <c r="D19" s="4">
        <v>20000</v>
      </c>
      <c r="E19" s="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8B00-E547-4F43-9D46-3230C44143F4}">
  <dimension ref="A1:E13"/>
  <sheetViews>
    <sheetView workbookViewId="0">
      <selection activeCell="F2" sqref="F2"/>
    </sheetView>
  </sheetViews>
  <sheetFormatPr defaultColWidth="8.77734375" defaultRowHeight="14.4" x14ac:dyDescent="0.3"/>
  <cols>
    <col min="1" max="1" width="13.44140625" bestFit="1" customWidth="1"/>
    <col min="2" max="2" width="16.5546875" bestFit="1" customWidth="1"/>
    <col min="3" max="3" width="13.44140625" bestFit="1" customWidth="1"/>
    <col min="4" max="4" width="16.5546875" bestFit="1" customWidth="1"/>
    <col min="5" max="5" width="13.6640625" customWidth="1"/>
    <col min="6" max="6" width="15.77734375" customWidth="1"/>
  </cols>
  <sheetData>
    <row r="1" spans="1:5" x14ac:dyDescent="0.3">
      <c r="A1" s="3" t="s">
        <v>34</v>
      </c>
      <c r="B1" s="3" t="s">
        <v>63</v>
      </c>
      <c r="C1" s="3" t="s">
        <v>64</v>
      </c>
      <c r="D1" s="3" t="s">
        <v>65</v>
      </c>
      <c r="E1" s="3" t="s">
        <v>86</v>
      </c>
    </row>
    <row r="2" spans="1:5" x14ac:dyDescent="0.3">
      <c r="A2" s="4" t="s">
        <v>66</v>
      </c>
      <c r="B2" s="4" t="s">
        <v>50</v>
      </c>
      <c r="C2" s="4" t="s">
        <v>67</v>
      </c>
      <c r="D2" s="4" t="str">
        <f>VLOOKUP(C2,$A$9:$B$13,2,0)</f>
        <v>HR</v>
      </c>
      <c r="E2">
        <f>VLOOKUP(C2,$A$9:$C$13,3,)</f>
        <v>1000</v>
      </c>
    </row>
    <row r="3" spans="1:5" x14ac:dyDescent="0.3">
      <c r="A3" s="4" t="s">
        <v>68</v>
      </c>
      <c r="B3" s="4" t="s">
        <v>52</v>
      </c>
      <c r="C3" s="4" t="s">
        <v>69</v>
      </c>
      <c r="D3" s="4" t="str">
        <f t="shared" ref="D3:D6" si="0">VLOOKUP(C3,$A$9:$B$13,2,0)</f>
        <v>Finance</v>
      </c>
      <c r="E3">
        <f t="shared" ref="E3:E6" si="1">VLOOKUP(C3,$A$9:$C$13,3,)</f>
        <v>5000</v>
      </c>
    </row>
    <row r="4" spans="1:5" x14ac:dyDescent="0.3">
      <c r="A4" s="4" t="s">
        <v>70</v>
      </c>
      <c r="B4" s="4" t="s">
        <v>54</v>
      </c>
      <c r="C4" s="4" t="s">
        <v>71</v>
      </c>
      <c r="D4" s="4" t="str">
        <f t="shared" si="0"/>
        <v>IT</v>
      </c>
      <c r="E4">
        <f t="shared" si="1"/>
        <v>3000</v>
      </c>
    </row>
    <row r="5" spans="1:5" x14ac:dyDescent="0.3">
      <c r="A5" s="4" t="s">
        <v>72</v>
      </c>
      <c r="B5" s="4" t="s">
        <v>56</v>
      </c>
      <c r="C5" s="4" t="s">
        <v>73</v>
      </c>
      <c r="D5" s="4" t="str">
        <f t="shared" si="0"/>
        <v>Marketing</v>
      </c>
      <c r="E5">
        <f t="shared" si="1"/>
        <v>2000</v>
      </c>
    </row>
    <row r="6" spans="1:5" x14ac:dyDescent="0.3">
      <c r="A6" s="4" t="s">
        <v>74</v>
      </c>
      <c r="B6" s="4" t="s">
        <v>58</v>
      </c>
      <c r="C6" s="4" t="s">
        <v>67</v>
      </c>
      <c r="D6" s="4" t="str">
        <f t="shared" si="0"/>
        <v>HR</v>
      </c>
      <c r="E6">
        <f t="shared" si="1"/>
        <v>1000</v>
      </c>
    </row>
    <row r="9" spans="1:5" x14ac:dyDescent="0.3">
      <c r="A9" s="3" t="s">
        <v>64</v>
      </c>
      <c r="B9" s="3" t="s">
        <v>65</v>
      </c>
      <c r="C9" s="4" t="s">
        <v>86</v>
      </c>
    </row>
    <row r="10" spans="1:5" x14ac:dyDescent="0.3">
      <c r="A10" s="4" t="s">
        <v>67</v>
      </c>
      <c r="B10" s="4" t="s">
        <v>75</v>
      </c>
      <c r="C10">
        <v>1000</v>
      </c>
    </row>
    <row r="11" spans="1:5" x14ac:dyDescent="0.3">
      <c r="A11" s="4" t="s">
        <v>69</v>
      </c>
      <c r="B11" s="4" t="s">
        <v>76</v>
      </c>
      <c r="C11">
        <v>5000</v>
      </c>
    </row>
    <row r="12" spans="1:5" x14ac:dyDescent="0.3">
      <c r="A12" s="4" t="s">
        <v>73</v>
      </c>
      <c r="B12" s="4" t="s">
        <v>77</v>
      </c>
      <c r="C12">
        <v>2000</v>
      </c>
    </row>
    <row r="13" spans="1:5" x14ac:dyDescent="0.3">
      <c r="A13" s="4" t="s">
        <v>71</v>
      </c>
      <c r="B13" s="4" t="s">
        <v>78</v>
      </c>
      <c r="C13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6698-55BE-4A49-8014-935A73D45BAD}">
  <dimension ref="A1:I22"/>
  <sheetViews>
    <sheetView workbookViewId="0">
      <selection activeCell="F2" sqref="F2"/>
    </sheetView>
  </sheetViews>
  <sheetFormatPr defaultColWidth="8.77734375" defaultRowHeight="14.4" x14ac:dyDescent="0.3"/>
  <cols>
    <col min="1" max="1" width="10.77734375" bestFit="1" customWidth="1"/>
    <col min="2" max="2" width="11.44140625" bestFit="1" customWidth="1"/>
    <col min="3" max="3" width="8.21875" bestFit="1" customWidth="1"/>
    <col min="4" max="4" width="17.88671875" bestFit="1" customWidth="1"/>
    <col min="5" max="5" width="11.77734375" customWidth="1"/>
  </cols>
  <sheetData>
    <row r="1" spans="1:6" x14ac:dyDescent="0.3">
      <c r="A1" s="3" t="s">
        <v>1</v>
      </c>
      <c r="B1" s="3" t="s">
        <v>47</v>
      </c>
      <c r="C1" s="3" t="s">
        <v>4</v>
      </c>
      <c r="D1" s="3" t="s">
        <v>48</v>
      </c>
      <c r="E1" s="3" t="s">
        <v>49</v>
      </c>
    </row>
    <row r="2" spans="1:6" x14ac:dyDescent="0.3">
      <c r="A2" s="4" t="s">
        <v>50</v>
      </c>
      <c r="B2" s="4" t="s">
        <v>51</v>
      </c>
      <c r="C2" s="4">
        <v>3</v>
      </c>
      <c r="D2" s="4">
        <f>HLOOKUP(B2,$A$10:$F$11,2,)</f>
        <v>10</v>
      </c>
      <c r="E2" s="4">
        <f>C2*D2</f>
        <v>30</v>
      </c>
    </row>
    <row r="3" spans="1:6" x14ac:dyDescent="0.3">
      <c r="A3" s="4" t="s">
        <v>52</v>
      </c>
      <c r="B3" s="4" t="s">
        <v>53</v>
      </c>
      <c r="C3" s="4">
        <v>2</v>
      </c>
      <c r="D3" s="4">
        <f t="shared" ref="D3:D6" si="0">HLOOKUP(B3,$A$10:$F$11,2,)</f>
        <v>40</v>
      </c>
      <c r="E3" s="4">
        <f t="shared" ref="E3:E6" si="1">C3*D3</f>
        <v>80</v>
      </c>
    </row>
    <row r="4" spans="1:6" x14ac:dyDescent="0.3">
      <c r="A4" s="4" t="s">
        <v>54</v>
      </c>
      <c r="B4" s="4" t="s">
        <v>55</v>
      </c>
      <c r="C4" s="4">
        <v>1</v>
      </c>
      <c r="D4" s="4">
        <f t="shared" si="0"/>
        <v>15</v>
      </c>
      <c r="E4" s="4">
        <f t="shared" si="1"/>
        <v>15</v>
      </c>
    </row>
    <row r="5" spans="1:6" x14ac:dyDescent="0.3">
      <c r="A5" s="4" t="s">
        <v>56</v>
      </c>
      <c r="B5" s="4" t="s">
        <v>57</v>
      </c>
      <c r="C5" s="4">
        <v>5</v>
      </c>
      <c r="D5" s="4">
        <f t="shared" si="0"/>
        <v>5</v>
      </c>
      <c r="E5" s="4">
        <f t="shared" si="1"/>
        <v>25</v>
      </c>
    </row>
    <row r="6" spans="1:6" x14ac:dyDescent="0.3">
      <c r="A6" s="4" t="s">
        <v>58</v>
      </c>
      <c r="B6" s="4" t="s">
        <v>59</v>
      </c>
      <c r="C6" s="4">
        <v>4</v>
      </c>
      <c r="D6" s="4">
        <f t="shared" si="0"/>
        <v>7</v>
      </c>
      <c r="E6" s="4">
        <f t="shared" si="1"/>
        <v>28</v>
      </c>
    </row>
    <row r="10" spans="1:6" x14ac:dyDescent="0.3">
      <c r="A10" s="1" t="s">
        <v>2</v>
      </c>
      <c r="B10" s="12" t="s">
        <v>51</v>
      </c>
      <c r="C10" s="12" t="s">
        <v>57</v>
      </c>
      <c r="D10" s="12" t="s">
        <v>53</v>
      </c>
      <c r="E10" s="12" t="s">
        <v>59</v>
      </c>
      <c r="F10" s="12" t="s">
        <v>55</v>
      </c>
    </row>
    <row r="11" spans="1:6" x14ac:dyDescent="0.3">
      <c r="A11" s="13" t="s">
        <v>60</v>
      </c>
      <c r="B11" s="2">
        <v>10</v>
      </c>
      <c r="C11" s="2">
        <v>5</v>
      </c>
      <c r="D11" s="2">
        <v>40</v>
      </c>
      <c r="E11" s="2">
        <v>7</v>
      </c>
      <c r="F11" s="2">
        <v>15</v>
      </c>
    </row>
    <row r="14" spans="1:6" x14ac:dyDescent="0.3">
      <c r="F14" s="1"/>
    </row>
    <row r="21" spans="4:9" x14ac:dyDescent="0.3">
      <c r="D21" s="1"/>
      <c r="E21" s="1"/>
      <c r="F21" s="1"/>
      <c r="G21" s="1"/>
      <c r="H21" s="1"/>
      <c r="I21" s="1"/>
    </row>
    <row r="22" spans="4:9" x14ac:dyDescent="0.3">
      <c r="D22" s="2"/>
      <c r="E22" s="2"/>
      <c r="F22" s="2"/>
      <c r="G22" s="2"/>
      <c r="H22" s="2"/>
      <c r="I2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08B7-240E-40FA-9EE9-FD21D58F26D7}">
  <dimension ref="A1:F13"/>
  <sheetViews>
    <sheetView workbookViewId="0">
      <selection activeCell="D2" sqref="D2"/>
    </sheetView>
  </sheetViews>
  <sheetFormatPr defaultRowHeight="14.4" x14ac:dyDescent="0.3"/>
  <cols>
    <col min="1" max="1" width="12.88671875" bestFit="1" customWidth="1"/>
    <col min="2" max="2" width="18.88671875" bestFit="1" customWidth="1"/>
    <col min="3" max="3" width="10.88671875" customWidth="1"/>
    <col min="4" max="4" width="5.21875" bestFit="1" customWidth="1"/>
    <col min="5" max="5" width="5.77734375" bestFit="1" customWidth="1"/>
    <col min="6" max="6" width="6.21875" bestFit="1" customWidth="1"/>
  </cols>
  <sheetData>
    <row r="1" spans="1:6" x14ac:dyDescent="0.3">
      <c r="A1" s="3" t="s">
        <v>61</v>
      </c>
      <c r="B1" s="3" t="s">
        <v>85</v>
      </c>
      <c r="C1" t="s">
        <v>62</v>
      </c>
    </row>
    <row r="2" spans="1:6" x14ac:dyDescent="0.3">
      <c r="A2" s="4" t="s">
        <v>50</v>
      </c>
      <c r="B2" s="4">
        <f>HLOOKUP(A2,$A$11:$F$13,2,)</f>
        <v>85</v>
      </c>
      <c r="C2" t="str">
        <f>HLOOKUP(A2,$A$11:$F$13,3,)</f>
        <v>A</v>
      </c>
    </row>
    <row r="3" spans="1:6" x14ac:dyDescent="0.3">
      <c r="A3" s="4" t="s">
        <v>56</v>
      </c>
      <c r="B3" s="4">
        <f t="shared" ref="B3:B6" si="0">HLOOKUP(A3,$A$11:$F$13,2,)</f>
        <v>68</v>
      </c>
      <c r="C3" t="str">
        <f t="shared" ref="C3:C6" si="1">HLOOKUP(A3,$A$11:$F$13,3,)</f>
        <v>C</v>
      </c>
    </row>
    <row r="4" spans="1:6" x14ac:dyDescent="0.3">
      <c r="A4" s="4" t="s">
        <v>54</v>
      </c>
      <c r="B4" s="4">
        <f t="shared" si="0"/>
        <v>92</v>
      </c>
      <c r="C4" t="str">
        <f t="shared" si="1"/>
        <v>A+</v>
      </c>
    </row>
    <row r="5" spans="1:6" x14ac:dyDescent="0.3">
      <c r="A5" s="4" t="s">
        <v>58</v>
      </c>
      <c r="B5" s="4">
        <f t="shared" si="0"/>
        <v>59</v>
      </c>
      <c r="C5" t="str">
        <f t="shared" si="1"/>
        <v>D</v>
      </c>
    </row>
    <row r="6" spans="1:6" x14ac:dyDescent="0.3">
      <c r="A6" s="4" t="s">
        <v>52</v>
      </c>
      <c r="B6" s="4">
        <f t="shared" si="0"/>
        <v>76</v>
      </c>
      <c r="C6" t="str">
        <f t="shared" si="1"/>
        <v>B</v>
      </c>
    </row>
    <row r="11" spans="1:6" ht="28.8" x14ac:dyDescent="0.3">
      <c r="A11" s="1" t="s">
        <v>63</v>
      </c>
      <c r="B11" s="1" t="s">
        <v>50</v>
      </c>
      <c r="C11" s="1" t="s">
        <v>52</v>
      </c>
      <c r="D11" s="1" t="s">
        <v>54</v>
      </c>
      <c r="E11" s="1" t="s">
        <v>56</v>
      </c>
      <c r="F11" s="1" t="s">
        <v>58</v>
      </c>
    </row>
    <row r="12" spans="1:6" x14ac:dyDescent="0.3">
      <c r="A12" s="2" t="s">
        <v>62</v>
      </c>
      <c r="B12" s="2">
        <v>85</v>
      </c>
      <c r="C12" s="2">
        <v>76</v>
      </c>
      <c r="D12" s="2">
        <v>92</v>
      </c>
      <c r="E12" s="2">
        <v>68</v>
      </c>
      <c r="F12" s="2">
        <v>59</v>
      </c>
    </row>
    <row r="13" spans="1:6" x14ac:dyDescent="0.3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8B5B-0AAA-41DB-93CE-A71BBBBAE8A0}">
  <dimension ref="A1:D6"/>
  <sheetViews>
    <sheetView workbookViewId="0">
      <selection activeCell="E2" sqref="E2"/>
    </sheetView>
  </sheetViews>
  <sheetFormatPr defaultColWidth="14.109375" defaultRowHeight="14.4" x14ac:dyDescent="0.3"/>
  <sheetData>
    <row r="1" spans="1:4" x14ac:dyDescent="0.3">
      <c r="A1" s="9" t="s">
        <v>87</v>
      </c>
      <c r="B1" s="3" t="s">
        <v>63</v>
      </c>
      <c r="C1" s="3" t="s">
        <v>88</v>
      </c>
      <c r="D1" s="9" t="s">
        <v>89</v>
      </c>
    </row>
    <row r="2" spans="1:4" x14ac:dyDescent="0.3">
      <c r="A2" s="10" t="s">
        <v>90</v>
      </c>
      <c r="B2" s="4" t="s">
        <v>91</v>
      </c>
      <c r="C2" s="4" t="s">
        <v>92</v>
      </c>
      <c r="D2" s="10">
        <v>88</v>
      </c>
    </row>
    <row r="3" spans="1:4" x14ac:dyDescent="0.3">
      <c r="A3" s="10" t="s">
        <v>93</v>
      </c>
      <c r="B3" s="4" t="s">
        <v>94</v>
      </c>
      <c r="C3" s="4" t="s">
        <v>95</v>
      </c>
      <c r="D3" s="10">
        <v>72</v>
      </c>
    </row>
    <row r="4" spans="1:4" x14ac:dyDescent="0.3">
      <c r="A4" s="10" t="s">
        <v>96</v>
      </c>
      <c r="B4" s="4" t="s">
        <v>54</v>
      </c>
      <c r="C4" s="4" t="s">
        <v>97</v>
      </c>
      <c r="D4" s="10">
        <v>91</v>
      </c>
    </row>
    <row r="5" spans="1:4" x14ac:dyDescent="0.3">
      <c r="A5" s="10" t="s">
        <v>98</v>
      </c>
      <c r="B5" s="4" t="s">
        <v>99</v>
      </c>
      <c r="C5" s="4" t="s">
        <v>92</v>
      </c>
      <c r="D5" s="10">
        <v>65</v>
      </c>
    </row>
    <row r="6" spans="1:4" x14ac:dyDescent="0.3">
      <c r="A6" s="10" t="s">
        <v>100</v>
      </c>
      <c r="B6" s="4" t="s">
        <v>101</v>
      </c>
      <c r="C6" s="4" t="s">
        <v>95</v>
      </c>
      <c r="D6" s="10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BB03-905C-4253-ACBB-0A8F4C26E739}">
  <dimension ref="A1:D4"/>
  <sheetViews>
    <sheetView workbookViewId="0">
      <selection activeCell="I20" sqref="I20"/>
    </sheetView>
  </sheetViews>
  <sheetFormatPr defaultRowHeight="14.4" x14ac:dyDescent="0.3"/>
  <cols>
    <col min="1" max="1" width="8.6640625" bestFit="1" customWidth="1"/>
    <col min="2" max="2" width="6" bestFit="1" customWidth="1"/>
    <col min="3" max="3" width="11.44140625" bestFit="1" customWidth="1"/>
    <col min="4" max="4" width="5.6640625" bestFit="1" customWidth="1"/>
  </cols>
  <sheetData>
    <row r="1" spans="1:4" ht="28.8" x14ac:dyDescent="0.3">
      <c r="A1" s="8" t="s">
        <v>87</v>
      </c>
      <c r="B1" s="1" t="s">
        <v>63</v>
      </c>
      <c r="C1" s="1" t="s">
        <v>88</v>
      </c>
      <c r="D1" s="8" t="s">
        <v>89</v>
      </c>
    </row>
    <row r="2" spans="1:4" x14ac:dyDescent="0.3">
      <c r="A2" s="7" t="s">
        <v>90</v>
      </c>
      <c r="B2" s="2" t="str">
        <f>_xlfn.XLOOKUP(A2,Xlookup!$A$1:$A$6,Xlookup!$B$1:$B$6)</f>
        <v>Aditi</v>
      </c>
      <c r="C2" s="2"/>
      <c r="D2" s="7"/>
    </row>
    <row r="3" spans="1:4" x14ac:dyDescent="0.3">
      <c r="A3" s="7" t="s">
        <v>96</v>
      </c>
      <c r="B3" s="2" t="str">
        <f>_xlfn.XLOOKUP(A3,Xlookup!$A$1:$A$6,Xlookup!$B$1:$B$6)</f>
        <v>Neha</v>
      </c>
      <c r="C3" s="2"/>
      <c r="D3" s="7"/>
    </row>
    <row r="4" spans="1:4" x14ac:dyDescent="0.3">
      <c r="A4" s="7" t="s">
        <v>100</v>
      </c>
      <c r="B4" s="2" t="str">
        <f>_xlfn.XLOOKUP(A4,Xlookup!$A$1:$A$6,Xlookup!$B$1:$B$6)</f>
        <v>Pooja</v>
      </c>
      <c r="C4" s="2"/>
      <c r="D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B992-2D5E-4FF4-83F2-273327F717DD}">
  <dimension ref="A1:K23"/>
  <sheetViews>
    <sheetView workbookViewId="0">
      <selection activeCell="J12" sqref="J12"/>
    </sheetView>
  </sheetViews>
  <sheetFormatPr defaultRowHeight="14.4" x14ac:dyDescent="0.3"/>
  <cols>
    <col min="8" max="8" width="11.44140625" customWidth="1"/>
    <col min="9" max="9" width="13.44140625" customWidth="1"/>
    <col min="11" max="11" width="28.33203125" customWidth="1"/>
  </cols>
  <sheetData>
    <row r="1" spans="1:11" ht="43.2" x14ac:dyDescent="0.3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/>
      <c r="G1" s="1"/>
      <c r="H1" s="1"/>
    </row>
    <row r="2" spans="1:11" x14ac:dyDescent="0.3">
      <c r="A2" s="2" t="s">
        <v>102</v>
      </c>
      <c r="B2" s="2" t="s">
        <v>10</v>
      </c>
      <c r="C2" s="2" t="s">
        <v>9</v>
      </c>
      <c r="D2" s="2">
        <v>75000</v>
      </c>
      <c r="E2" s="2">
        <v>5</v>
      </c>
      <c r="G2" s="28" t="s">
        <v>231</v>
      </c>
      <c r="H2" s="28"/>
      <c r="I2" s="28"/>
      <c r="J2">
        <f>SUMIF(B2:B10,"North",D2:D10)</f>
        <v>216000</v>
      </c>
    </row>
    <row r="3" spans="1:11" x14ac:dyDescent="0.3">
      <c r="A3" s="2" t="s">
        <v>58</v>
      </c>
      <c r="B3" s="2" t="s">
        <v>14</v>
      </c>
      <c r="C3" s="2" t="s">
        <v>233</v>
      </c>
      <c r="D3" s="2">
        <v>40000</v>
      </c>
      <c r="E3" s="2">
        <v>8</v>
      </c>
      <c r="G3" s="28" t="s">
        <v>232</v>
      </c>
      <c r="H3" s="28"/>
      <c r="I3" s="28"/>
      <c r="J3">
        <f xml:space="preserve"> SUMIF(A2:A10,"Ankit",D2:D10)</f>
        <v>185000</v>
      </c>
    </row>
    <row r="4" spans="1:11" x14ac:dyDescent="0.3">
      <c r="A4" s="2" t="s">
        <v>94</v>
      </c>
      <c r="B4" s="2" t="s">
        <v>10</v>
      </c>
      <c r="C4" s="2" t="s">
        <v>28</v>
      </c>
      <c r="D4" s="2">
        <v>30000</v>
      </c>
      <c r="E4" s="2">
        <v>6</v>
      </c>
      <c r="G4" s="28" t="s">
        <v>234</v>
      </c>
      <c r="H4" s="28"/>
      <c r="I4" s="28"/>
      <c r="J4">
        <f xml:space="preserve"> SUMIF(C2:C10,"Laptop",E2:E10)</f>
        <v>18</v>
      </c>
    </row>
    <row r="5" spans="1:11" x14ac:dyDescent="0.3">
      <c r="A5" s="2" t="s">
        <v>102</v>
      </c>
      <c r="B5" s="2" t="s">
        <v>22</v>
      </c>
      <c r="C5" s="2" t="s">
        <v>9</v>
      </c>
      <c r="D5" s="2">
        <v>82000</v>
      </c>
      <c r="E5" s="2">
        <v>4</v>
      </c>
      <c r="G5" s="28" t="s">
        <v>235</v>
      </c>
      <c r="H5" s="28"/>
      <c r="I5" s="28"/>
      <c r="J5">
        <f xml:space="preserve"> COUNTIF(D2:D10,"&gt;50000")</f>
        <v>4</v>
      </c>
    </row>
    <row r="6" spans="1:11" x14ac:dyDescent="0.3">
      <c r="A6" s="2" t="s">
        <v>58</v>
      </c>
      <c r="B6" s="2" t="s">
        <v>10</v>
      </c>
      <c r="C6" s="2" t="s">
        <v>233</v>
      </c>
      <c r="D6" s="2">
        <v>45000</v>
      </c>
      <c r="E6" s="2">
        <v>9</v>
      </c>
      <c r="G6" s="28" t="s">
        <v>236</v>
      </c>
      <c r="H6" s="28"/>
      <c r="I6" s="28"/>
      <c r="J6">
        <f xml:space="preserve"> SUMIF(B2:B10,"North",D2:D10)</f>
        <v>216000</v>
      </c>
    </row>
    <row r="7" spans="1:11" x14ac:dyDescent="0.3">
      <c r="A7" s="2" t="s">
        <v>94</v>
      </c>
      <c r="B7" s="2" t="s">
        <v>14</v>
      </c>
      <c r="C7" s="2" t="s">
        <v>9</v>
      </c>
      <c r="D7" s="2">
        <v>68000</v>
      </c>
      <c r="E7" s="2">
        <v>3</v>
      </c>
      <c r="G7" s="28" t="s">
        <v>237</v>
      </c>
      <c r="H7" s="28"/>
      <c r="I7" s="28"/>
      <c r="J7">
        <f xml:space="preserve"> COUNTIF(A2:A11,"Meera")</f>
        <v>3</v>
      </c>
    </row>
    <row r="8" spans="1:11" x14ac:dyDescent="0.3">
      <c r="A8" s="2" t="s">
        <v>102</v>
      </c>
      <c r="B8" s="2" t="s">
        <v>10</v>
      </c>
      <c r="C8" s="2" t="s">
        <v>28</v>
      </c>
      <c r="D8" s="2">
        <v>28000</v>
      </c>
      <c r="E8" s="2">
        <v>7</v>
      </c>
      <c r="G8" s="28" t="s">
        <v>238</v>
      </c>
      <c r="H8" s="28"/>
      <c r="I8" s="28"/>
      <c r="J8">
        <f>COUNTIF(D2:D10,"&gt;60000")</f>
        <v>4</v>
      </c>
    </row>
    <row r="9" spans="1:11" x14ac:dyDescent="0.3">
      <c r="A9" s="2" t="s">
        <v>58</v>
      </c>
      <c r="B9" s="2" t="s">
        <v>22</v>
      </c>
      <c r="C9" s="2" t="s">
        <v>9</v>
      </c>
      <c r="D9" s="2">
        <v>91000</v>
      </c>
      <c r="E9" s="2">
        <v>6</v>
      </c>
      <c r="G9" s="28" t="s">
        <v>239</v>
      </c>
      <c r="H9" s="28"/>
      <c r="I9" s="28"/>
      <c r="J9">
        <f>COUNTIF(C2:C10,"Laptop")</f>
        <v>4</v>
      </c>
    </row>
    <row r="10" spans="1:11" x14ac:dyDescent="0.3">
      <c r="A10" s="2" t="s">
        <v>94</v>
      </c>
      <c r="B10" s="2" t="s">
        <v>10</v>
      </c>
      <c r="C10" s="2" t="s">
        <v>233</v>
      </c>
      <c r="D10" s="2">
        <v>38000</v>
      </c>
      <c r="E10" s="2">
        <v>5</v>
      </c>
      <c r="G10" s="28" t="s">
        <v>240</v>
      </c>
      <c r="H10" s="28"/>
      <c r="I10" s="28"/>
      <c r="J10">
        <f xml:space="preserve"> AVERAGEIF(B2:B10,"North",D2:D10)</f>
        <v>43200</v>
      </c>
    </row>
    <row r="11" spans="1:11" x14ac:dyDescent="0.3">
      <c r="G11" s="28" t="s">
        <v>242</v>
      </c>
      <c r="H11" s="28"/>
      <c r="I11" s="28"/>
      <c r="J11">
        <f>AVERAGEIF(D2:D10,"&gt;40000")</f>
        <v>72200</v>
      </c>
    </row>
    <row r="13" spans="1:11" x14ac:dyDescent="0.3">
      <c r="I13" s="28" t="s">
        <v>231</v>
      </c>
      <c r="J13" s="28"/>
      <c r="K13" s="28"/>
    </row>
    <row r="14" spans="1:11" x14ac:dyDescent="0.3">
      <c r="I14" s="28" t="s">
        <v>232</v>
      </c>
      <c r="J14" s="28"/>
      <c r="K14" s="28"/>
    </row>
    <row r="15" spans="1:11" x14ac:dyDescent="0.3">
      <c r="I15" s="28" t="s">
        <v>234</v>
      </c>
      <c r="J15" s="28"/>
      <c r="K15" s="28"/>
    </row>
    <row r="16" spans="1:11" x14ac:dyDescent="0.3">
      <c r="I16" s="28" t="s">
        <v>235</v>
      </c>
      <c r="J16" s="28"/>
      <c r="K16" s="28"/>
    </row>
    <row r="17" spans="9:11" x14ac:dyDescent="0.3">
      <c r="I17" s="28" t="s">
        <v>236</v>
      </c>
      <c r="J17" s="28"/>
      <c r="K17" s="28"/>
    </row>
    <row r="18" spans="9:11" x14ac:dyDescent="0.3">
      <c r="I18" s="28" t="s">
        <v>237</v>
      </c>
      <c r="J18" s="28"/>
      <c r="K18" s="28"/>
    </row>
    <row r="19" spans="9:11" x14ac:dyDescent="0.3">
      <c r="I19" s="28" t="s">
        <v>238</v>
      </c>
      <c r="J19" s="28"/>
      <c r="K19" s="28"/>
    </row>
    <row r="20" spans="9:11" x14ac:dyDescent="0.3">
      <c r="I20" s="28" t="s">
        <v>239</v>
      </c>
      <c r="J20" s="28"/>
      <c r="K20" s="28"/>
    </row>
    <row r="21" spans="9:11" x14ac:dyDescent="0.3">
      <c r="I21" s="28" t="s">
        <v>240</v>
      </c>
      <c r="J21" s="28"/>
      <c r="K21" s="28"/>
    </row>
    <row r="22" spans="9:11" x14ac:dyDescent="0.3">
      <c r="I22" s="28" t="s">
        <v>241</v>
      </c>
      <c r="J22" s="28"/>
      <c r="K22" s="28"/>
    </row>
    <row r="23" spans="9:11" x14ac:dyDescent="0.3">
      <c r="I23" s="28" t="s">
        <v>242</v>
      </c>
      <c r="J23" s="28"/>
      <c r="K23" s="2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24BA-E0EF-4404-9B8E-33B4F3BA4E83}">
  <dimension ref="A3:B7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4" t="s">
        <v>243</v>
      </c>
      <c r="B3" t="s">
        <v>245</v>
      </c>
    </row>
    <row r="4" spans="1:2" x14ac:dyDescent="0.3">
      <c r="A4" s="25" t="s">
        <v>10</v>
      </c>
      <c r="B4" s="26">
        <v>103000</v>
      </c>
    </row>
    <row r="5" spans="1:2" x14ac:dyDescent="0.3">
      <c r="A5" s="25" t="s">
        <v>14</v>
      </c>
      <c r="B5" s="26">
        <v>117000</v>
      </c>
    </row>
    <row r="6" spans="1:2" x14ac:dyDescent="0.3">
      <c r="A6" s="25" t="s">
        <v>22</v>
      </c>
      <c r="B6" s="26">
        <v>390000</v>
      </c>
    </row>
    <row r="7" spans="1:2" x14ac:dyDescent="0.3">
      <c r="A7" s="25" t="s">
        <v>244</v>
      </c>
      <c r="B7" s="26">
        <v>610000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9B03-434A-46C4-BF2B-3BE746CC80AC}">
  <dimension ref="A3:B8"/>
  <sheetViews>
    <sheetView workbookViewId="0">
      <selection activeCell="C9" sqref="C9"/>
    </sheetView>
  </sheetViews>
  <sheetFormatPr defaultRowHeight="14.4" x14ac:dyDescent="0.3"/>
  <cols>
    <col min="1" max="1" width="12.5546875" bestFit="1" customWidth="1"/>
    <col min="2" max="2" width="11.77734375" bestFit="1" customWidth="1"/>
  </cols>
  <sheetData>
    <row r="3" spans="1:2" x14ac:dyDescent="0.3">
      <c r="A3" s="24" t="s">
        <v>243</v>
      </c>
      <c r="B3" t="s">
        <v>246</v>
      </c>
    </row>
    <row r="4" spans="1:2" x14ac:dyDescent="0.3">
      <c r="A4" s="25" t="s">
        <v>141</v>
      </c>
      <c r="B4" s="26">
        <v>11</v>
      </c>
    </row>
    <row r="5" spans="1:2" x14ac:dyDescent="0.3">
      <c r="A5" s="25" t="s">
        <v>9</v>
      </c>
      <c r="B5" s="26">
        <v>4</v>
      </c>
    </row>
    <row r="6" spans="1:2" x14ac:dyDescent="0.3">
      <c r="A6" s="25" t="s">
        <v>17</v>
      </c>
      <c r="B6" s="26">
        <v>9</v>
      </c>
    </row>
    <row r="7" spans="1:2" x14ac:dyDescent="0.3">
      <c r="A7" s="25" t="s">
        <v>145</v>
      </c>
      <c r="B7" s="26">
        <v>5</v>
      </c>
    </row>
    <row r="8" spans="1:2" x14ac:dyDescent="0.3">
      <c r="A8" s="25" t="s">
        <v>244</v>
      </c>
      <c r="B8" s="26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CDF7-33BF-49A1-AE96-F2ABEE2B59FC}">
  <dimension ref="A3:D8"/>
  <sheetViews>
    <sheetView workbookViewId="0">
      <selection activeCell="E4" sqref="E4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8.6640625" bestFit="1" customWidth="1"/>
    <col min="4" max="4" width="10.77734375" bestFit="1" customWidth="1"/>
  </cols>
  <sheetData>
    <row r="3" spans="1:4" x14ac:dyDescent="0.3">
      <c r="A3" s="24" t="s">
        <v>245</v>
      </c>
      <c r="B3" s="24" t="s">
        <v>247</v>
      </c>
    </row>
    <row r="4" spans="1:4" x14ac:dyDescent="0.3">
      <c r="A4" s="24" t="s">
        <v>243</v>
      </c>
      <c r="B4" t="s">
        <v>138</v>
      </c>
      <c r="C4" t="s">
        <v>142</v>
      </c>
      <c r="D4" t="s">
        <v>244</v>
      </c>
    </row>
    <row r="5" spans="1:4" x14ac:dyDescent="0.3">
      <c r="A5" s="25" t="s">
        <v>10</v>
      </c>
      <c r="B5" s="26">
        <v>60000</v>
      </c>
      <c r="C5" s="26">
        <v>43000</v>
      </c>
      <c r="D5" s="26">
        <v>103000</v>
      </c>
    </row>
    <row r="6" spans="1:4" x14ac:dyDescent="0.3">
      <c r="A6" s="25" t="s">
        <v>14</v>
      </c>
      <c r="B6" s="26">
        <v>60000</v>
      </c>
      <c r="C6" s="26">
        <v>57000</v>
      </c>
      <c r="D6" s="26">
        <v>117000</v>
      </c>
    </row>
    <row r="7" spans="1:4" x14ac:dyDescent="0.3">
      <c r="A7" s="25" t="s">
        <v>22</v>
      </c>
      <c r="B7" s="26">
        <v>390000</v>
      </c>
      <c r="C7" s="26"/>
      <c r="D7" s="26">
        <v>390000</v>
      </c>
    </row>
    <row r="8" spans="1:4" x14ac:dyDescent="0.3">
      <c r="A8" s="25" t="s">
        <v>244</v>
      </c>
      <c r="B8" s="26">
        <v>510000</v>
      </c>
      <c r="C8" s="26">
        <v>100000</v>
      </c>
      <c r="D8" s="26">
        <v>610000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145F-8A62-4F9F-8447-C0522E10D442}">
  <dimension ref="A3:B5"/>
  <sheetViews>
    <sheetView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4" t="s">
        <v>243</v>
      </c>
      <c r="B3" t="s">
        <v>245</v>
      </c>
    </row>
    <row r="4" spans="1:2" x14ac:dyDescent="0.3">
      <c r="A4" s="25" t="s">
        <v>91</v>
      </c>
      <c r="B4" s="26">
        <v>210000</v>
      </c>
    </row>
    <row r="5" spans="1:2" x14ac:dyDescent="0.3">
      <c r="A5" s="25" t="s">
        <v>244</v>
      </c>
      <c r="B5" s="26">
        <v>210000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66DC-2559-41E0-B0F8-CD4478F1EED2}">
  <dimension ref="A1:B8"/>
  <sheetViews>
    <sheetView workbookViewId="0">
      <selection activeCell="E6" sqref="E6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24" t="s">
        <v>135</v>
      </c>
      <c r="B1" t="s">
        <v>138</v>
      </c>
    </row>
    <row r="3" spans="1:2" x14ac:dyDescent="0.3">
      <c r="A3" s="24" t="s">
        <v>243</v>
      </c>
      <c r="B3" t="s">
        <v>246</v>
      </c>
    </row>
    <row r="4" spans="1:2" x14ac:dyDescent="0.3">
      <c r="A4" s="25" t="s">
        <v>107</v>
      </c>
      <c r="B4" s="26">
        <v>1</v>
      </c>
    </row>
    <row r="5" spans="1:2" x14ac:dyDescent="0.3">
      <c r="A5" s="25" t="s">
        <v>105</v>
      </c>
      <c r="B5" s="26">
        <v>2</v>
      </c>
    </row>
    <row r="6" spans="1:2" x14ac:dyDescent="0.3">
      <c r="A6" s="25" t="s">
        <v>103</v>
      </c>
      <c r="B6" s="26">
        <v>6</v>
      </c>
    </row>
    <row r="7" spans="1:2" x14ac:dyDescent="0.3">
      <c r="A7" s="25" t="s">
        <v>104</v>
      </c>
      <c r="B7" s="26">
        <v>4</v>
      </c>
    </row>
    <row r="8" spans="1:2" x14ac:dyDescent="0.3">
      <c r="A8" s="25" t="s">
        <v>244</v>
      </c>
      <c r="B8" s="26">
        <v>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6928-8653-4356-AB4E-B4016ACEF824}">
  <dimension ref="A3:E9"/>
  <sheetViews>
    <sheetView workbookViewId="0">
      <selection activeCell="G6" sqref="G6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4" width="7" bestFit="1" customWidth="1"/>
    <col min="5" max="5" width="10.77734375" bestFit="1" customWidth="1"/>
  </cols>
  <sheetData>
    <row r="3" spans="1:5" x14ac:dyDescent="0.3">
      <c r="A3" s="24" t="s">
        <v>245</v>
      </c>
      <c r="B3" s="24" t="s">
        <v>247</v>
      </c>
    </row>
    <row r="4" spans="1:5" x14ac:dyDescent="0.3">
      <c r="A4" s="24" t="s">
        <v>243</v>
      </c>
      <c r="B4" t="s">
        <v>10</v>
      </c>
      <c r="C4" t="s">
        <v>14</v>
      </c>
      <c r="D4" t="s">
        <v>22</v>
      </c>
      <c r="E4" t="s">
        <v>244</v>
      </c>
    </row>
    <row r="5" spans="1:5" x14ac:dyDescent="0.3">
      <c r="A5" s="25" t="s">
        <v>141</v>
      </c>
      <c r="B5" s="26">
        <v>25000</v>
      </c>
      <c r="C5" s="26">
        <v>30000</v>
      </c>
      <c r="D5" s="26"/>
      <c r="E5" s="26">
        <v>55000</v>
      </c>
    </row>
    <row r="6" spans="1:5" x14ac:dyDescent="0.3">
      <c r="A6" s="25" t="s">
        <v>9</v>
      </c>
      <c r="B6" s="26"/>
      <c r="C6" s="26">
        <v>60000</v>
      </c>
      <c r="D6" s="26">
        <v>180000</v>
      </c>
      <c r="E6" s="26">
        <v>240000</v>
      </c>
    </row>
    <row r="7" spans="1:5" x14ac:dyDescent="0.3">
      <c r="A7" s="25" t="s">
        <v>17</v>
      </c>
      <c r="B7" s="26">
        <v>60000</v>
      </c>
      <c r="C7" s="26"/>
      <c r="D7" s="26">
        <v>210000</v>
      </c>
      <c r="E7" s="26">
        <v>270000</v>
      </c>
    </row>
    <row r="8" spans="1:5" x14ac:dyDescent="0.3">
      <c r="A8" s="25" t="s">
        <v>145</v>
      </c>
      <c r="B8" s="26">
        <v>18000</v>
      </c>
      <c r="C8" s="26">
        <v>27000</v>
      </c>
      <c r="D8" s="26"/>
      <c r="E8" s="26">
        <v>45000</v>
      </c>
    </row>
    <row r="9" spans="1:5" x14ac:dyDescent="0.3">
      <c r="A9" s="25" t="s">
        <v>244</v>
      </c>
      <c r="B9" s="26">
        <v>103000</v>
      </c>
      <c r="C9" s="26">
        <v>117000</v>
      </c>
      <c r="D9" s="26">
        <v>390000</v>
      </c>
      <c r="E9" s="26">
        <v>610000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1295-024E-4F13-A86E-1917A4461192}">
  <dimension ref="A3:B11"/>
  <sheetViews>
    <sheetView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4" t="s">
        <v>243</v>
      </c>
      <c r="B3" t="s">
        <v>245</v>
      </c>
    </row>
    <row r="4" spans="1:2" x14ac:dyDescent="0.3">
      <c r="A4" s="27">
        <v>45292</v>
      </c>
      <c r="B4" s="26">
        <v>120000</v>
      </c>
    </row>
    <row r="5" spans="1:2" x14ac:dyDescent="0.3">
      <c r="A5" s="27">
        <v>45293</v>
      </c>
      <c r="B5" s="26">
        <v>90000</v>
      </c>
    </row>
    <row r="6" spans="1:2" x14ac:dyDescent="0.3">
      <c r="A6" s="27">
        <v>45294</v>
      </c>
      <c r="B6" s="26">
        <v>85000</v>
      </c>
    </row>
    <row r="7" spans="1:2" x14ac:dyDescent="0.3">
      <c r="A7" s="27">
        <v>45295</v>
      </c>
      <c r="B7" s="26">
        <v>18000</v>
      </c>
    </row>
    <row r="8" spans="1:2" x14ac:dyDescent="0.3">
      <c r="A8" s="27">
        <v>45296</v>
      </c>
      <c r="B8" s="26">
        <v>150000</v>
      </c>
    </row>
    <row r="9" spans="1:2" x14ac:dyDescent="0.3">
      <c r="A9" s="27">
        <v>45297</v>
      </c>
      <c r="B9" s="26">
        <v>120000</v>
      </c>
    </row>
    <row r="10" spans="1:2" x14ac:dyDescent="0.3">
      <c r="A10" s="27">
        <v>45298</v>
      </c>
      <c r="B10" s="26">
        <v>27000</v>
      </c>
    </row>
    <row r="11" spans="1:2" x14ac:dyDescent="0.3">
      <c r="A11" s="27" t="s">
        <v>244</v>
      </c>
      <c r="B11" s="26">
        <v>610000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E50A-FE96-4299-808D-3D645819AEB5}">
  <dimension ref="A1:P999"/>
  <sheetViews>
    <sheetView workbookViewId="0">
      <selection activeCell="D5" sqref="A1:I11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6.77734375" bestFit="1" customWidth="1"/>
    <col min="4" max="4" width="10" customWidth="1"/>
    <col min="5" max="5" width="10.44140625" customWidth="1"/>
    <col min="6" max="6" width="13" customWidth="1"/>
    <col min="7" max="7" width="12.109375" customWidth="1"/>
    <col min="8" max="8" width="6.88671875" customWidth="1"/>
    <col min="9" max="9" width="10.88671875" customWidth="1"/>
    <col min="10" max="10" width="8.21875" bestFit="1" customWidth="1"/>
    <col min="11" max="11" width="7.6640625" bestFit="1" customWidth="1"/>
    <col min="12" max="12" width="9.88671875" bestFit="1" customWidth="1"/>
    <col min="13" max="13" width="11" bestFit="1" customWidth="1"/>
    <col min="14" max="14" width="5.33203125" bestFit="1" customWidth="1"/>
    <col min="15" max="15" width="8.33203125" bestFit="1" customWidth="1"/>
    <col min="16" max="16" width="12.6640625" customWidth="1"/>
  </cols>
  <sheetData>
    <row r="1" spans="1:16" s="6" customFormat="1" ht="28.8" x14ac:dyDescent="0.3">
      <c r="A1" s="8" t="s">
        <v>132</v>
      </c>
      <c r="B1" s="1" t="s">
        <v>133</v>
      </c>
      <c r="C1" s="1" t="s">
        <v>3</v>
      </c>
      <c r="D1" s="1" t="s">
        <v>134</v>
      </c>
      <c r="E1" s="1" t="s">
        <v>2</v>
      </c>
      <c r="F1" s="1" t="s">
        <v>135</v>
      </c>
      <c r="G1" s="1" t="s">
        <v>1</v>
      </c>
      <c r="H1" s="8" t="s">
        <v>136</v>
      </c>
      <c r="I1" s="8" t="s">
        <v>110</v>
      </c>
    </row>
    <row r="2" spans="1:16" ht="28.8" x14ac:dyDescent="0.3">
      <c r="A2" s="7" t="s">
        <v>137</v>
      </c>
      <c r="B2" s="11">
        <v>45292</v>
      </c>
      <c r="C2" s="2" t="s">
        <v>22</v>
      </c>
      <c r="D2" s="2" t="s">
        <v>103</v>
      </c>
      <c r="E2" s="2" t="s">
        <v>9</v>
      </c>
      <c r="F2" s="2" t="s">
        <v>138</v>
      </c>
      <c r="G2" s="2" t="s">
        <v>94</v>
      </c>
      <c r="H2" s="7">
        <v>2</v>
      </c>
      <c r="I2" s="7">
        <v>120000</v>
      </c>
      <c r="P2" s="5"/>
    </row>
    <row r="3" spans="1:16" ht="28.8" x14ac:dyDescent="0.3">
      <c r="A3" s="7" t="s">
        <v>139</v>
      </c>
      <c r="B3" s="11">
        <v>45293</v>
      </c>
      <c r="C3" s="2" t="s">
        <v>22</v>
      </c>
      <c r="D3" s="2" t="s">
        <v>104</v>
      </c>
      <c r="E3" s="2" t="s">
        <v>17</v>
      </c>
      <c r="F3" s="2" t="s">
        <v>138</v>
      </c>
      <c r="G3" s="2" t="s">
        <v>91</v>
      </c>
      <c r="H3" s="7">
        <v>3</v>
      </c>
      <c r="I3" s="7">
        <v>90000</v>
      </c>
      <c r="P3" s="5"/>
    </row>
    <row r="4" spans="1:16" x14ac:dyDescent="0.3">
      <c r="A4" s="7" t="s">
        <v>140</v>
      </c>
      <c r="B4" s="11">
        <v>45294</v>
      </c>
      <c r="C4" s="2" t="s">
        <v>10</v>
      </c>
      <c r="D4" s="2" t="s">
        <v>105</v>
      </c>
      <c r="E4" s="2" t="s">
        <v>141</v>
      </c>
      <c r="F4" s="2" t="s">
        <v>142</v>
      </c>
      <c r="G4" s="2" t="s">
        <v>54</v>
      </c>
      <c r="H4" s="7">
        <v>5</v>
      </c>
      <c r="I4" s="7">
        <v>25000</v>
      </c>
      <c r="P4" s="5"/>
    </row>
    <row r="5" spans="1:16" ht="28.8" x14ac:dyDescent="0.3">
      <c r="A5" s="7" t="s">
        <v>143</v>
      </c>
      <c r="B5" s="11">
        <v>45294</v>
      </c>
      <c r="C5" s="2" t="s">
        <v>14</v>
      </c>
      <c r="D5" s="2" t="s">
        <v>107</v>
      </c>
      <c r="E5" s="2" t="s">
        <v>9</v>
      </c>
      <c r="F5" s="2" t="s">
        <v>138</v>
      </c>
      <c r="G5" s="2" t="s">
        <v>99</v>
      </c>
      <c r="H5" s="7">
        <v>1</v>
      </c>
      <c r="I5" s="7">
        <v>60000</v>
      </c>
      <c r="P5" s="5"/>
    </row>
    <row r="6" spans="1:16" x14ac:dyDescent="0.3">
      <c r="A6" s="7" t="s">
        <v>144</v>
      </c>
      <c r="B6" s="11">
        <v>45295</v>
      </c>
      <c r="C6" s="2" t="s">
        <v>10</v>
      </c>
      <c r="D6" s="2" t="s">
        <v>105</v>
      </c>
      <c r="E6" s="2" t="s">
        <v>145</v>
      </c>
      <c r="F6" s="2" t="s">
        <v>142</v>
      </c>
      <c r="G6" s="2" t="s">
        <v>94</v>
      </c>
      <c r="H6" s="7">
        <v>2</v>
      </c>
      <c r="I6" s="7">
        <v>18000</v>
      </c>
      <c r="P6" s="5"/>
    </row>
    <row r="7" spans="1:16" ht="28.8" x14ac:dyDescent="0.3">
      <c r="A7" s="7" t="s">
        <v>146</v>
      </c>
      <c r="B7" s="11">
        <v>45296</v>
      </c>
      <c r="C7" s="2" t="s">
        <v>22</v>
      </c>
      <c r="D7" s="2" t="s">
        <v>103</v>
      </c>
      <c r="E7" s="2" t="s">
        <v>17</v>
      </c>
      <c r="F7" s="2" t="s">
        <v>138</v>
      </c>
      <c r="G7" s="2" t="s">
        <v>91</v>
      </c>
      <c r="H7" s="7">
        <v>4</v>
      </c>
      <c r="I7" s="7">
        <v>120000</v>
      </c>
      <c r="P7" s="5"/>
    </row>
    <row r="8" spans="1:16" x14ac:dyDescent="0.3">
      <c r="A8" s="7" t="s">
        <v>147</v>
      </c>
      <c r="B8" s="11">
        <v>45296</v>
      </c>
      <c r="C8" s="2" t="s">
        <v>14</v>
      </c>
      <c r="D8" s="2" t="s">
        <v>148</v>
      </c>
      <c r="E8" s="2" t="s">
        <v>141</v>
      </c>
      <c r="F8" s="2" t="s">
        <v>142</v>
      </c>
      <c r="G8" s="2" t="s">
        <v>106</v>
      </c>
      <c r="H8" s="7">
        <v>6</v>
      </c>
      <c r="I8" s="7">
        <v>30000</v>
      </c>
      <c r="P8" s="5"/>
    </row>
    <row r="9" spans="1:16" ht="28.8" x14ac:dyDescent="0.3">
      <c r="A9" s="7" t="s">
        <v>149</v>
      </c>
      <c r="B9" s="11">
        <v>45297</v>
      </c>
      <c r="C9" s="2" t="s">
        <v>22</v>
      </c>
      <c r="D9" s="2" t="s">
        <v>104</v>
      </c>
      <c r="E9" s="2" t="s">
        <v>9</v>
      </c>
      <c r="F9" s="2" t="s">
        <v>138</v>
      </c>
      <c r="G9" s="2" t="s">
        <v>94</v>
      </c>
      <c r="H9" s="7">
        <v>1</v>
      </c>
      <c r="I9" s="7">
        <v>60000</v>
      </c>
      <c r="P9" s="5"/>
    </row>
    <row r="10" spans="1:16" ht="28.8" x14ac:dyDescent="0.3">
      <c r="A10" s="7" t="s">
        <v>150</v>
      </c>
      <c r="B10" s="11">
        <v>45297</v>
      </c>
      <c r="C10" s="2" t="s">
        <v>10</v>
      </c>
      <c r="D10" s="2" t="s">
        <v>105</v>
      </c>
      <c r="E10" s="2" t="s">
        <v>17</v>
      </c>
      <c r="F10" s="2" t="s">
        <v>138</v>
      </c>
      <c r="G10" s="2" t="s">
        <v>54</v>
      </c>
      <c r="H10" s="7">
        <v>2</v>
      </c>
      <c r="I10" s="7">
        <v>60000</v>
      </c>
      <c r="P10" s="5"/>
    </row>
    <row r="11" spans="1:16" ht="28.8" x14ac:dyDescent="0.3">
      <c r="A11" s="7" t="s">
        <v>151</v>
      </c>
      <c r="B11" s="11">
        <v>45298</v>
      </c>
      <c r="C11" s="2" t="s">
        <v>14</v>
      </c>
      <c r="D11" s="2" t="s">
        <v>107</v>
      </c>
      <c r="E11" s="2" t="s">
        <v>145</v>
      </c>
      <c r="F11" s="2" t="s">
        <v>142</v>
      </c>
      <c r="G11" s="2" t="s">
        <v>99</v>
      </c>
      <c r="H11" s="7">
        <v>3</v>
      </c>
      <c r="I11" s="7">
        <v>27000</v>
      </c>
      <c r="P11" s="5"/>
    </row>
    <row r="12" spans="1:16" x14ac:dyDescent="0.3">
      <c r="P12" s="5"/>
    </row>
    <row r="13" spans="1:16" x14ac:dyDescent="0.3">
      <c r="P13" s="5"/>
    </row>
    <row r="14" spans="1:16" x14ac:dyDescent="0.3">
      <c r="P14" s="5"/>
    </row>
    <row r="15" spans="1:16" x14ac:dyDescent="0.3">
      <c r="P15" s="5"/>
    </row>
    <row r="16" spans="1:16" x14ac:dyDescent="0.3">
      <c r="P16" s="5"/>
    </row>
    <row r="17" spans="16:16" x14ac:dyDescent="0.3">
      <c r="P17" s="5"/>
    </row>
    <row r="18" spans="16:16" x14ac:dyDescent="0.3">
      <c r="P18" s="5"/>
    </row>
    <row r="19" spans="16:16" x14ac:dyDescent="0.3">
      <c r="P19" s="5"/>
    </row>
    <row r="21" spans="16:16" x14ac:dyDescent="0.3">
      <c r="P21" s="5"/>
    </row>
    <row r="23" spans="16:16" x14ac:dyDescent="0.3">
      <c r="P23" s="5"/>
    </row>
    <row r="24" spans="16:16" x14ac:dyDescent="0.3">
      <c r="P24" s="5"/>
    </row>
    <row r="25" spans="16:16" x14ac:dyDescent="0.3">
      <c r="P25" s="5"/>
    </row>
    <row r="26" spans="16:16" x14ac:dyDescent="0.3">
      <c r="P26" s="5"/>
    </row>
    <row r="27" spans="16:16" x14ac:dyDescent="0.3">
      <c r="P27" s="5"/>
    </row>
    <row r="28" spans="16:16" x14ac:dyDescent="0.3">
      <c r="P28" s="5"/>
    </row>
    <row r="29" spans="16:16" x14ac:dyDescent="0.3">
      <c r="P29" s="5"/>
    </row>
    <row r="30" spans="16:16" x14ac:dyDescent="0.3">
      <c r="P30" s="5"/>
    </row>
    <row r="31" spans="16:16" x14ac:dyDescent="0.3">
      <c r="P31" s="5"/>
    </row>
    <row r="33" spans="16:16" x14ac:dyDescent="0.3">
      <c r="P33" s="5"/>
    </row>
    <row r="35" spans="16:16" x14ac:dyDescent="0.3">
      <c r="P35" s="5"/>
    </row>
    <row r="36" spans="16:16" x14ac:dyDescent="0.3">
      <c r="P36" s="5"/>
    </row>
    <row r="37" spans="16:16" x14ac:dyDescent="0.3">
      <c r="P37" s="5"/>
    </row>
    <row r="38" spans="16:16" x14ac:dyDescent="0.3">
      <c r="P38" s="5"/>
    </row>
    <row r="39" spans="16:16" x14ac:dyDescent="0.3">
      <c r="P39" s="5"/>
    </row>
    <row r="40" spans="16:16" x14ac:dyDescent="0.3">
      <c r="P40" s="5"/>
    </row>
    <row r="41" spans="16:16" x14ac:dyDescent="0.3">
      <c r="P41" s="5"/>
    </row>
    <row r="42" spans="16:16" x14ac:dyDescent="0.3">
      <c r="P42" s="5"/>
    </row>
    <row r="43" spans="16:16" x14ac:dyDescent="0.3">
      <c r="P43" s="5"/>
    </row>
    <row r="44" spans="16:16" x14ac:dyDescent="0.3">
      <c r="P44" s="5"/>
    </row>
    <row r="45" spans="16:16" x14ac:dyDescent="0.3">
      <c r="P45" s="5"/>
    </row>
    <row r="46" spans="16:16" x14ac:dyDescent="0.3">
      <c r="P46" s="5"/>
    </row>
    <row r="47" spans="16:16" x14ac:dyDescent="0.3">
      <c r="P47" s="5"/>
    </row>
    <row r="49" spans="16:16" x14ac:dyDescent="0.3">
      <c r="P49" s="5"/>
    </row>
    <row r="50" spans="16:16" x14ac:dyDescent="0.3">
      <c r="P50" s="5"/>
    </row>
    <row r="51" spans="16:16" x14ac:dyDescent="0.3">
      <c r="P51" s="5"/>
    </row>
    <row r="52" spans="16:16" x14ac:dyDescent="0.3">
      <c r="P52" s="5"/>
    </row>
    <row r="53" spans="16:16" x14ac:dyDescent="0.3">
      <c r="P53" s="5"/>
    </row>
    <row r="54" spans="16:16" x14ac:dyDescent="0.3">
      <c r="P54" s="5"/>
    </row>
    <row r="55" spans="16:16" x14ac:dyDescent="0.3">
      <c r="P55" s="5"/>
    </row>
    <row r="58" spans="16:16" x14ac:dyDescent="0.3">
      <c r="P58" s="5"/>
    </row>
    <row r="59" spans="16:16" x14ac:dyDescent="0.3">
      <c r="P59" s="5"/>
    </row>
    <row r="60" spans="16:16" x14ac:dyDescent="0.3">
      <c r="P60" s="5"/>
    </row>
    <row r="61" spans="16:16" x14ac:dyDescent="0.3">
      <c r="P61" s="5"/>
    </row>
    <row r="62" spans="16:16" x14ac:dyDescent="0.3">
      <c r="P62" s="5"/>
    </row>
    <row r="63" spans="16:16" x14ac:dyDescent="0.3">
      <c r="P63" s="5"/>
    </row>
    <row r="64" spans="16:16" x14ac:dyDescent="0.3">
      <c r="P64" s="5"/>
    </row>
    <row r="65" spans="16:16" x14ac:dyDescent="0.3">
      <c r="P65" s="5"/>
    </row>
    <row r="66" spans="16:16" x14ac:dyDescent="0.3">
      <c r="P66" s="5"/>
    </row>
    <row r="67" spans="16:16" x14ac:dyDescent="0.3">
      <c r="P67" s="5"/>
    </row>
    <row r="68" spans="16:16" x14ac:dyDescent="0.3">
      <c r="P68" s="5"/>
    </row>
    <row r="69" spans="16:16" x14ac:dyDescent="0.3">
      <c r="P69" s="5"/>
    </row>
    <row r="70" spans="16:16" x14ac:dyDescent="0.3">
      <c r="P70" s="5"/>
    </row>
    <row r="71" spans="16:16" x14ac:dyDescent="0.3">
      <c r="P71" s="5"/>
    </row>
    <row r="72" spans="16:16" x14ac:dyDescent="0.3">
      <c r="P72" s="5"/>
    </row>
    <row r="73" spans="16:16" x14ac:dyDescent="0.3">
      <c r="P73" s="5"/>
    </row>
    <row r="74" spans="16:16" x14ac:dyDescent="0.3">
      <c r="P74" s="5"/>
    </row>
    <row r="75" spans="16:16" x14ac:dyDescent="0.3">
      <c r="P75" s="5"/>
    </row>
    <row r="76" spans="16:16" x14ac:dyDescent="0.3">
      <c r="P76" s="5"/>
    </row>
    <row r="77" spans="16:16" x14ac:dyDescent="0.3">
      <c r="P77" s="5"/>
    </row>
    <row r="80" spans="16:16" x14ac:dyDescent="0.3">
      <c r="P80" s="5"/>
    </row>
    <row r="81" spans="16:16" x14ac:dyDescent="0.3">
      <c r="P81" s="5"/>
    </row>
    <row r="83" spans="16:16" x14ac:dyDescent="0.3">
      <c r="P83" s="5"/>
    </row>
    <row r="85" spans="16:16" x14ac:dyDescent="0.3">
      <c r="P85" s="5"/>
    </row>
    <row r="86" spans="16:16" x14ac:dyDescent="0.3">
      <c r="P86" s="5"/>
    </row>
    <row r="88" spans="16:16" x14ac:dyDescent="0.3">
      <c r="P88" s="5"/>
    </row>
    <row r="90" spans="16:16" x14ac:dyDescent="0.3">
      <c r="P90" s="5"/>
    </row>
    <row r="91" spans="16:16" x14ac:dyDescent="0.3">
      <c r="P91" s="5"/>
    </row>
    <row r="92" spans="16:16" x14ac:dyDescent="0.3">
      <c r="P92" s="5"/>
    </row>
    <row r="95" spans="16:16" x14ac:dyDescent="0.3">
      <c r="P95" s="5"/>
    </row>
    <row r="96" spans="16:16" x14ac:dyDescent="0.3">
      <c r="P96" s="5"/>
    </row>
    <row r="97" spans="16:16" x14ac:dyDescent="0.3">
      <c r="P97" s="5"/>
    </row>
    <row r="98" spans="16:16" x14ac:dyDescent="0.3">
      <c r="P98" s="5"/>
    </row>
    <row r="99" spans="16:16" x14ac:dyDescent="0.3">
      <c r="P99" s="5"/>
    </row>
    <row r="100" spans="16:16" x14ac:dyDescent="0.3">
      <c r="P100" s="5"/>
    </row>
    <row r="101" spans="16:16" x14ac:dyDescent="0.3">
      <c r="P101" s="5"/>
    </row>
    <row r="102" spans="16:16" x14ac:dyDescent="0.3">
      <c r="P102" s="5"/>
    </row>
    <row r="103" spans="16:16" x14ac:dyDescent="0.3">
      <c r="P103" s="5"/>
    </row>
    <row r="104" spans="16:16" x14ac:dyDescent="0.3">
      <c r="P104" s="5"/>
    </row>
    <row r="105" spans="16:16" x14ac:dyDescent="0.3">
      <c r="P105" s="5"/>
    </row>
    <row r="106" spans="16:16" x14ac:dyDescent="0.3">
      <c r="P106" s="5"/>
    </row>
    <row r="108" spans="16:16" x14ac:dyDescent="0.3">
      <c r="P108" s="5"/>
    </row>
    <row r="109" spans="16:16" x14ac:dyDescent="0.3">
      <c r="P109" s="5"/>
    </row>
    <row r="110" spans="16:16" x14ac:dyDescent="0.3">
      <c r="P110" s="5"/>
    </row>
    <row r="111" spans="16:16" x14ac:dyDescent="0.3">
      <c r="P111" s="5"/>
    </row>
    <row r="112" spans="16:16" x14ac:dyDescent="0.3">
      <c r="P112" s="5"/>
    </row>
    <row r="113" spans="16:16" x14ac:dyDescent="0.3">
      <c r="P113" s="5"/>
    </row>
    <row r="114" spans="16:16" x14ac:dyDescent="0.3">
      <c r="P114" s="5"/>
    </row>
    <row r="115" spans="16:16" x14ac:dyDescent="0.3">
      <c r="P115" s="5"/>
    </row>
    <row r="116" spans="16:16" x14ac:dyDescent="0.3">
      <c r="P116" s="5"/>
    </row>
    <row r="117" spans="16:16" x14ac:dyDescent="0.3">
      <c r="P117" s="5"/>
    </row>
    <row r="118" spans="16:16" x14ac:dyDescent="0.3">
      <c r="P118" s="5"/>
    </row>
    <row r="119" spans="16:16" x14ac:dyDescent="0.3">
      <c r="P119" s="5"/>
    </row>
    <row r="120" spans="16:16" x14ac:dyDescent="0.3">
      <c r="P120" s="5"/>
    </row>
    <row r="121" spans="16:16" x14ac:dyDescent="0.3">
      <c r="P121" s="5"/>
    </row>
    <row r="122" spans="16:16" x14ac:dyDescent="0.3">
      <c r="P122" s="5"/>
    </row>
    <row r="123" spans="16:16" x14ac:dyDescent="0.3">
      <c r="P123" s="5"/>
    </row>
    <row r="124" spans="16:16" x14ac:dyDescent="0.3">
      <c r="P124" s="5"/>
    </row>
    <row r="125" spans="16:16" x14ac:dyDescent="0.3">
      <c r="P125" s="5"/>
    </row>
    <row r="126" spans="16:16" x14ac:dyDescent="0.3">
      <c r="P126" s="5"/>
    </row>
    <row r="127" spans="16:16" x14ac:dyDescent="0.3">
      <c r="P127" s="5"/>
    </row>
    <row r="128" spans="16:16" x14ac:dyDescent="0.3">
      <c r="P128" s="5"/>
    </row>
    <row r="129" spans="16:16" x14ac:dyDescent="0.3">
      <c r="P129" s="5"/>
    </row>
    <row r="130" spans="16:16" x14ac:dyDescent="0.3">
      <c r="P130" s="5"/>
    </row>
    <row r="131" spans="16:16" x14ac:dyDescent="0.3">
      <c r="P131" s="5"/>
    </row>
    <row r="133" spans="16:16" x14ac:dyDescent="0.3">
      <c r="P133" s="5"/>
    </row>
    <row r="134" spans="16:16" x14ac:dyDescent="0.3">
      <c r="P134" s="5"/>
    </row>
    <row r="135" spans="16:16" x14ac:dyDescent="0.3">
      <c r="P135" s="5"/>
    </row>
    <row r="136" spans="16:16" x14ac:dyDescent="0.3">
      <c r="P136" s="5"/>
    </row>
    <row r="138" spans="16:16" x14ac:dyDescent="0.3">
      <c r="P138" s="5"/>
    </row>
    <row r="139" spans="16:16" x14ac:dyDescent="0.3">
      <c r="P139" s="5"/>
    </row>
    <row r="140" spans="16:16" x14ac:dyDescent="0.3">
      <c r="P140" s="5"/>
    </row>
    <row r="141" spans="16:16" x14ac:dyDescent="0.3">
      <c r="P141" s="5"/>
    </row>
    <row r="143" spans="16:16" x14ac:dyDescent="0.3">
      <c r="P143" s="5"/>
    </row>
    <row r="144" spans="16:16" x14ac:dyDescent="0.3">
      <c r="P144" s="5"/>
    </row>
    <row r="145" spans="16:16" x14ac:dyDescent="0.3">
      <c r="P145" s="5"/>
    </row>
    <row r="146" spans="16:16" x14ac:dyDescent="0.3">
      <c r="P146" s="5"/>
    </row>
    <row r="147" spans="16:16" x14ac:dyDescent="0.3">
      <c r="P147" s="5"/>
    </row>
    <row r="148" spans="16:16" x14ac:dyDescent="0.3">
      <c r="P148" s="5"/>
    </row>
    <row r="149" spans="16:16" x14ac:dyDescent="0.3">
      <c r="P149" s="5"/>
    </row>
    <row r="150" spans="16:16" x14ac:dyDescent="0.3">
      <c r="P150" s="5"/>
    </row>
    <row r="151" spans="16:16" x14ac:dyDescent="0.3">
      <c r="P151" s="5"/>
    </row>
    <row r="152" spans="16:16" x14ac:dyDescent="0.3">
      <c r="P152" s="5"/>
    </row>
    <row r="153" spans="16:16" x14ac:dyDescent="0.3">
      <c r="P153" s="5"/>
    </row>
    <row r="154" spans="16:16" x14ac:dyDescent="0.3">
      <c r="P154" s="5"/>
    </row>
    <row r="155" spans="16:16" x14ac:dyDescent="0.3">
      <c r="P155" s="5"/>
    </row>
    <row r="156" spans="16:16" x14ac:dyDescent="0.3">
      <c r="P156" s="5"/>
    </row>
    <row r="157" spans="16:16" x14ac:dyDescent="0.3">
      <c r="P157" s="5"/>
    </row>
    <row r="158" spans="16:16" x14ac:dyDescent="0.3">
      <c r="P158" s="5"/>
    </row>
    <row r="159" spans="16:16" x14ac:dyDescent="0.3">
      <c r="P159" s="5"/>
    </row>
    <row r="160" spans="16:16" x14ac:dyDescent="0.3">
      <c r="P160" s="5"/>
    </row>
    <row r="161" spans="16:16" x14ac:dyDescent="0.3">
      <c r="P161" s="5"/>
    </row>
    <row r="163" spans="16:16" x14ac:dyDescent="0.3">
      <c r="P163" s="5"/>
    </row>
    <row r="164" spans="16:16" x14ac:dyDescent="0.3">
      <c r="P164" s="5"/>
    </row>
    <row r="166" spans="16:16" x14ac:dyDescent="0.3">
      <c r="P166" s="5"/>
    </row>
    <row r="167" spans="16:16" x14ac:dyDescent="0.3">
      <c r="P167" s="5"/>
    </row>
    <row r="169" spans="16:16" x14ac:dyDescent="0.3">
      <c r="P169" s="5"/>
    </row>
    <row r="170" spans="16:16" x14ac:dyDescent="0.3">
      <c r="P170" s="5"/>
    </row>
    <row r="171" spans="16:16" x14ac:dyDescent="0.3">
      <c r="P171" s="5"/>
    </row>
    <row r="172" spans="16:16" x14ac:dyDescent="0.3">
      <c r="P172" s="5"/>
    </row>
    <row r="173" spans="16:16" x14ac:dyDescent="0.3">
      <c r="P173" s="5"/>
    </row>
    <row r="174" spans="16:16" x14ac:dyDescent="0.3">
      <c r="P174" s="5"/>
    </row>
    <row r="175" spans="16:16" x14ac:dyDescent="0.3">
      <c r="P175" s="5"/>
    </row>
    <row r="176" spans="16:16" x14ac:dyDescent="0.3">
      <c r="P176" s="5"/>
    </row>
    <row r="180" spans="16:16" x14ac:dyDescent="0.3">
      <c r="P180" s="5"/>
    </row>
    <row r="181" spans="16:16" x14ac:dyDescent="0.3">
      <c r="P181" s="5"/>
    </row>
    <row r="185" spans="16:16" x14ac:dyDescent="0.3">
      <c r="P185" s="5"/>
    </row>
    <row r="188" spans="16:16" x14ac:dyDescent="0.3">
      <c r="P188" s="5"/>
    </row>
    <row r="189" spans="16:16" x14ac:dyDescent="0.3">
      <c r="P189" s="5"/>
    </row>
    <row r="191" spans="16:16" x14ac:dyDescent="0.3">
      <c r="P191" s="5"/>
    </row>
    <row r="192" spans="16:16" x14ac:dyDescent="0.3">
      <c r="P192" s="5"/>
    </row>
    <row r="193" spans="16:16" x14ac:dyDescent="0.3">
      <c r="P193" s="5"/>
    </row>
    <row r="195" spans="16:16" x14ac:dyDescent="0.3">
      <c r="P195" s="5"/>
    </row>
    <row r="196" spans="16:16" x14ac:dyDescent="0.3">
      <c r="P196" s="5"/>
    </row>
    <row r="197" spans="16:16" x14ac:dyDescent="0.3">
      <c r="P197" s="5"/>
    </row>
    <row r="198" spans="16:16" x14ac:dyDescent="0.3">
      <c r="P198" s="5"/>
    </row>
    <row r="201" spans="16:16" x14ac:dyDescent="0.3">
      <c r="P201" s="5"/>
    </row>
    <row r="202" spans="16:16" x14ac:dyDescent="0.3">
      <c r="P202" s="5"/>
    </row>
    <row r="203" spans="16:16" x14ac:dyDescent="0.3">
      <c r="P203" s="5"/>
    </row>
    <row r="204" spans="16:16" x14ac:dyDescent="0.3">
      <c r="P204" s="5"/>
    </row>
    <row r="205" spans="16:16" x14ac:dyDescent="0.3">
      <c r="P205" s="5"/>
    </row>
    <row r="206" spans="16:16" x14ac:dyDescent="0.3">
      <c r="P206" s="5"/>
    </row>
    <row r="208" spans="16:16" x14ac:dyDescent="0.3">
      <c r="P208" s="5"/>
    </row>
    <row r="209" spans="16:16" x14ac:dyDescent="0.3">
      <c r="P209" s="5"/>
    </row>
    <row r="210" spans="16:16" x14ac:dyDescent="0.3">
      <c r="P210" s="5"/>
    </row>
    <row r="211" spans="16:16" x14ac:dyDescent="0.3">
      <c r="P211" s="5"/>
    </row>
    <row r="212" spans="16:16" x14ac:dyDescent="0.3">
      <c r="P212" s="5"/>
    </row>
    <row r="214" spans="16:16" x14ac:dyDescent="0.3">
      <c r="P214" s="5"/>
    </row>
    <row r="215" spans="16:16" x14ac:dyDescent="0.3">
      <c r="P215" s="5"/>
    </row>
    <row r="216" spans="16:16" x14ac:dyDescent="0.3">
      <c r="P216" s="5"/>
    </row>
    <row r="217" spans="16:16" x14ac:dyDescent="0.3">
      <c r="P217" s="5"/>
    </row>
    <row r="218" spans="16:16" x14ac:dyDescent="0.3">
      <c r="P218" s="5"/>
    </row>
    <row r="219" spans="16:16" x14ac:dyDescent="0.3">
      <c r="P219" s="5"/>
    </row>
    <row r="220" spans="16:16" x14ac:dyDescent="0.3">
      <c r="P220" s="5"/>
    </row>
    <row r="221" spans="16:16" x14ac:dyDescent="0.3">
      <c r="P221" s="5"/>
    </row>
    <row r="222" spans="16:16" x14ac:dyDescent="0.3">
      <c r="P222" s="5"/>
    </row>
    <row r="223" spans="16:16" x14ac:dyDescent="0.3">
      <c r="P223" s="5"/>
    </row>
    <row r="224" spans="16:16" x14ac:dyDescent="0.3">
      <c r="P224" s="5"/>
    </row>
    <row r="225" spans="16:16" x14ac:dyDescent="0.3">
      <c r="P225" s="5"/>
    </row>
    <row r="227" spans="16:16" x14ac:dyDescent="0.3">
      <c r="P227" s="5"/>
    </row>
    <row r="228" spans="16:16" x14ac:dyDescent="0.3">
      <c r="P228" s="5"/>
    </row>
    <row r="229" spans="16:16" x14ac:dyDescent="0.3">
      <c r="P229" s="5"/>
    </row>
    <row r="232" spans="16:16" x14ac:dyDescent="0.3">
      <c r="P232" s="5"/>
    </row>
    <row r="233" spans="16:16" x14ac:dyDescent="0.3">
      <c r="P233" s="5"/>
    </row>
    <row r="234" spans="16:16" x14ac:dyDescent="0.3">
      <c r="P234" s="5"/>
    </row>
    <row r="235" spans="16:16" x14ac:dyDescent="0.3">
      <c r="P235" s="5"/>
    </row>
    <row r="236" spans="16:16" x14ac:dyDescent="0.3">
      <c r="P236" s="5"/>
    </row>
    <row r="237" spans="16:16" x14ac:dyDescent="0.3">
      <c r="P237" s="5"/>
    </row>
    <row r="238" spans="16:16" x14ac:dyDescent="0.3">
      <c r="P238" s="5"/>
    </row>
    <row r="239" spans="16:16" x14ac:dyDescent="0.3">
      <c r="P239" s="5"/>
    </row>
    <row r="241" spans="16:16" x14ac:dyDescent="0.3">
      <c r="P241" s="5"/>
    </row>
    <row r="242" spans="16:16" x14ac:dyDescent="0.3">
      <c r="P242" s="5"/>
    </row>
    <row r="243" spans="16:16" x14ac:dyDescent="0.3">
      <c r="P243" s="5"/>
    </row>
    <row r="244" spans="16:16" x14ac:dyDescent="0.3">
      <c r="P244" s="5"/>
    </row>
    <row r="245" spans="16:16" x14ac:dyDescent="0.3">
      <c r="P245" s="5"/>
    </row>
    <row r="246" spans="16:16" x14ac:dyDescent="0.3">
      <c r="P246" s="5"/>
    </row>
    <row r="247" spans="16:16" x14ac:dyDescent="0.3">
      <c r="P247" s="5"/>
    </row>
    <row r="249" spans="16:16" x14ac:dyDescent="0.3">
      <c r="P249" s="5"/>
    </row>
    <row r="250" spans="16:16" x14ac:dyDescent="0.3">
      <c r="P250" s="5"/>
    </row>
    <row r="251" spans="16:16" x14ac:dyDescent="0.3">
      <c r="P251" s="5"/>
    </row>
    <row r="252" spans="16:16" x14ac:dyDescent="0.3">
      <c r="P252" s="5"/>
    </row>
    <row r="253" spans="16:16" x14ac:dyDescent="0.3">
      <c r="P253" s="5"/>
    </row>
    <row r="254" spans="16:16" x14ac:dyDescent="0.3">
      <c r="P254" s="5"/>
    </row>
    <row r="255" spans="16:16" x14ac:dyDescent="0.3">
      <c r="P255" s="5"/>
    </row>
    <row r="256" spans="16:16" x14ac:dyDescent="0.3">
      <c r="P256" s="5"/>
    </row>
    <row r="257" spans="16:16" x14ac:dyDescent="0.3">
      <c r="P257" s="5"/>
    </row>
    <row r="258" spans="16:16" x14ac:dyDescent="0.3">
      <c r="P258" s="5"/>
    </row>
    <row r="259" spans="16:16" x14ac:dyDescent="0.3">
      <c r="P259" s="5"/>
    </row>
    <row r="261" spans="16:16" x14ac:dyDescent="0.3">
      <c r="P261" s="5"/>
    </row>
    <row r="262" spans="16:16" x14ac:dyDescent="0.3">
      <c r="P262" s="5"/>
    </row>
    <row r="263" spans="16:16" x14ac:dyDescent="0.3">
      <c r="P263" s="5"/>
    </row>
    <row r="264" spans="16:16" x14ac:dyDescent="0.3">
      <c r="P264" s="5"/>
    </row>
    <row r="265" spans="16:16" x14ac:dyDescent="0.3">
      <c r="P265" s="5"/>
    </row>
    <row r="266" spans="16:16" x14ac:dyDescent="0.3">
      <c r="P266" s="5"/>
    </row>
    <row r="267" spans="16:16" x14ac:dyDescent="0.3">
      <c r="P267" s="5"/>
    </row>
    <row r="268" spans="16:16" x14ac:dyDescent="0.3">
      <c r="P268" s="5"/>
    </row>
    <row r="269" spans="16:16" x14ac:dyDescent="0.3">
      <c r="P269" s="5"/>
    </row>
    <row r="270" spans="16:16" x14ac:dyDescent="0.3">
      <c r="P270" s="5"/>
    </row>
    <row r="271" spans="16:16" x14ac:dyDescent="0.3">
      <c r="P271" s="5"/>
    </row>
    <row r="272" spans="16:16" x14ac:dyDescent="0.3">
      <c r="P272" s="5"/>
    </row>
    <row r="273" spans="16:16" x14ac:dyDescent="0.3">
      <c r="P273" s="5"/>
    </row>
    <row r="274" spans="16:16" x14ac:dyDescent="0.3">
      <c r="P274" s="5"/>
    </row>
    <row r="276" spans="16:16" x14ac:dyDescent="0.3">
      <c r="P276" s="5"/>
    </row>
    <row r="277" spans="16:16" x14ac:dyDescent="0.3">
      <c r="P277" s="5"/>
    </row>
    <row r="279" spans="16:16" x14ac:dyDescent="0.3">
      <c r="P279" s="5"/>
    </row>
    <row r="280" spans="16:16" x14ac:dyDescent="0.3">
      <c r="P280" s="5"/>
    </row>
    <row r="281" spans="16:16" x14ac:dyDescent="0.3">
      <c r="P281" s="5"/>
    </row>
    <row r="284" spans="16:16" x14ac:dyDescent="0.3">
      <c r="P284" s="5"/>
    </row>
    <row r="285" spans="16:16" x14ac:dyDescent="0.3">
      <c r="P285" s="5"/>
    </row>
    <row r="286" spans="16:16" x14ac:dyDescent="0.3">
      <c r="P286" s="5"/>
    </row>
    <row r="287" spans="16:16" x14ac:dyDescent="0.3">
      <c r="P287" s="5"/>
    </row>
    <row r="289" spans="16:16" x14ac:dyDescent="0.3">
      <c r="P289" s="5"/>
    </row>
    <row r="290" spans="16:16" x14ac:dyDescent="0.3">
      <c r="P290" s="5"/>
    </row>
    <row r="292" spans="16:16" x14ac:dyDescent="0.3">
      <c r="P292" s="5"/>
    </row>
    <row r="293" spans="16:16" x14ac:dyDescent="0.3">
      <c r="P293" s="5"/>
    </row>
    <row r="295" spans="16:16" x14ac:dyDescent="0.3">
      <c r="P295" s="5"/>
    </row>
    <row r="299" spans="16:16" x14ac:dyDescent="0.3">
      <c r="P299" s="5"/>
    </row>
    <row r="302" spans="16:16" x14ac:dyDescent="0.3">
      <c r="P302" s="5"/>
    </row>
    <row r="304" spans="16:16" x14ac:dyDescent="0.3">
      <c r="P304" s="5"/>
    </row>
    <row r="306" spans="16:16" x14ac:dyDescent="0.3">
      <c r="P306" s="5"/>
    </row>
    <row r="307" spans="16:16" x14ac:dyDescent="0.3">
      <c r="P307" s="5"/>
    </row>
    <row r="309" spans="16:16" x14ac:dyDescent="0.3">
      <c r="P309" s="5"/>
    </row>
    <row r="311" spans="16:16" x14ac:dyDescent="0.3">
      <c r="P311" s="5"/>
    </row>
    <row r="312" spans="16:16" x14ac:dyDescent="0.3">
      <c r="P312" s="5"/>
    </row>
    <row r="313" spans="16:16" x14ac:dyDescent="0.3">
      <c r="P313" s="5"/>
    </row>
    <row r="314" spans="16:16" x14ac:dyDescent="0.3">
      <c r="P314" s="5"/>
    </row>
    <row r="315" spans="16:16" x14ac:dyDescent="0.3">
      <c r="P315" s="5"/>
    </row>
    <row r="316" spans="16:16" x14ac:dyDescent="0.3">
      <c r="P316" s="5"/>
    </row>
    <row r="317" spans="16:16" x14ac:dyDescent="0.3">
      <c r="P317" s="5"/>
    </row>
    <row r="318" spans="16:16" x14ac:dyDescent="0.3">
      <c r="P318" s="5"/>
    </row>
    <row r="319" spans="16:16" x14ac:dyDescent="0.3">
      <c r="P319" s="5"/>
    </row>
    <row r="321" spans="16:16" x14ac:dyDescent="0.3">
      <c r="P321" s="5"/>
    </row>
    <row r="322" spans="16:16" x14ac:dyDescent="0.3">
      <c r="P322" s="5"/>
    </row>
    <row r="327" spans="16:16" x14ac:dyDescent="0.3">
      <c r="P327" s="5"/>
    </row>
    <row r="329" spans="16:16" x14ac:dyDescent="0.3">
      <c r="P329" s="5"/>
    </row>
    <row r="330" spans="16:16" x14ac:dyDescent="0.3">
      <c r="P330" s="5"/>
    </row>
    <row r="331" spans="16:16" x14ac:dyDescent="0.3">
      <c r="P331" s="5"/>
    </row>
    <row r="332" spans="16:16" x14ac:dyDescent="0.3">
      <c r="P332" s="5"/>
    </row>
    <row r="333" spans="16:16" x14ac:dyDescent="0.3">
      <c r="P333" s="5"/>
    </row>
    <row r="334" spans="16:16" x14ac:dyDescent="0.3">
      <c r="P334" s="5"/>
    </row>
    <row r="335" spans="16:16" x14ac:dyDescent="0.3">
      <c r="P335" s="5"/>
    </row>
    <row r="336" spans="16:16" x14ac:dyDescent="0.3">
      <c r="P336" s="5"/>
    </row>
    <row r="337" spans="16:16" x14ac:dyDescent="0.3">
      <c r="P337" s="5"/>
    </row>
    <row r="338" spans="16:16" x14ac:dyDescent="0.3">
      <c r="P338" s="5"/>
    </row>
    <row r="339" spans="16:16" x14ac:dyDescent="0.3">
      <c r="P339" s="5"/>
    </row>
    <row r="340" spans="16:16" x14ac:dyDescent="0.3">
      <c r="P340" s="5"/>
    </row>
    <row r="341" spans="16:16" x14ac:dyDescent="0.3">
      <c r="P341" s="5"/>
    </row>
    <row r="342" spans="16:16" x14ac:dyDescent="0.3">
      <c r="P342" s="5"/>
    </row>
    <row r="343" spans="16:16" x14ac:dyDescent="0.3">
      <c r="P343" s="5"/>
    </row>
    <row r="344" spans="16:16" x14ac:dyDescent="0.3">
      <c r="P344" s="5"/>
    </row>
    <row r="345" spans="16:16" x14ac:dyDescent="0.3">
      <c r="P345" s="5"/>
    </row>
    <row r="346" spans="16:16" x14ac:dyDescent="0.3">
      <c r="P346" s="5"/>
    </row>
    <row r="347" spans="16:16" x14ac:dyDescent="0.3">
      <c r="P347" s="5"/>
    </row>
    <row r="348" spans="16:16" x14ac:dyDescent="0.3">
      <c r="P348" s="5"/>
    </row>
    <row r="349" spans="16:16" x14ac:dyDescent="0.3">
      <c r="P349" s="5"/>
    </row>
    <row r="350" spans="16:16" x14ac:dyDescent="0.3">
      <c r="P350" s="5"/>
    </row>
    <row r="351" spans="16:16" x14ac:dyDescent="0.3">
      <c r="P351" s="5"/>
    </row>
    <row r="352" spans="16:16" x14ac:dyDescent="0.3">
      <c r="P352" s="5"/>
    </row>
    <row r="354" spans="16:16" x14ac:dyDescent="0.3">
      <c r="P354" s="5"/>
    </row>
    <row r="356" spans="16:16" x14ac:dyDescent="0.3">
      <c r="P356" s="5"/>
    </row>
    <row r="357" spans="16:16" x14ac:dyDescent="0.3">
      <c r="P357" s="5"/>
    </row>
    <row r="358" spans="16:16" x14ac:dyDescent="0.3">
      <c r="P358" s="5"/>
    </row>
    <row r="359" spans="16:16" x14ac:dyDescent="0.3">
      <c r="P359" s="5"/>
    </row>
    <row r="360" spans="16:16" x14ac:dyDescent="0.3">
      <c r="P360" s="5"/>
    </row>
    <row r="361" spans="16:16" x14ac:dyDescent="0.3">
      <c r="P361" s="5"/>
    </row>
    <row r="362" spans="16:16" x14ac:dyDescent="0.3">
      <c r="P362" s="5"/>
    </row>
    <row r="363" spans="16:16" x14ac:dyDescent="0.3">
      <c r="P363" s="5"/>
    </row>
    <row r="364" spans="16:16" x14ac:dyDescent="0.3">
      <c r="P364" s="5"/>
    </row>
    <row r="365" spans="16:16" x14ac:dyDescent="0.3">
      <c r="P365" s="5"/>
    </row>
    <row r="366" spans="16:16" x14ac:dyDescent="0.3">
      <c r="P366" s="5"/>
    </row>
    <row r="367" spans="16:16" x14ac:dyDescent="0.3">
      <c r="P367" s="5"/>
    </row>
    <row r="369" spans="16:16" x14ac:dyDescent="0.3">
      <c r="P369" s="5"/>
    </row>
    <row r="370" spans="16:16" x14ac:dyDescent="0.3">
      <c r="P370" s="5"/>
    </row>
    <row r="371" spans="16:16" x14ac:dyDescent="0.3">
      <c r="P371" s="5"/>
    </row>
    <row r="372" spans="16:16" x14ac:dyDescent="0.3">
      <c r="P372" s="5"/>
    </row>
    <row r="373" spans="16:16" x14ac:dyDescent="0.3">
      <c r="P373" s="5"/>
    </row>
    <row r="374" spans="16:16" x14ac:dyDescent="0.3">
      <c r="P374" s="5"/>
    </row>
    <row r="375" spans="16:16" x14ac:dyDescent="0.3">
      <c r="P375" s="5"/>
    </row>
    <row r="376" spans="16:16" x14ac:dyDescent="0.3">
      <c r="P376" s="5"/>
    </row>
    <row r="377" spans="16:16" x14ac:dyDescent="0.3">
      <c r="P377" s="5"/>
    </row>
    <row r="378" spans="16:16" x14ac:dyDescent="0.3">
      <c r="P378" s="5"/>
    </row>
    <row r="379" spans="16:16" x14ac:dyDescent="0.3">
      <c r="P379" s="5"/>
    </row>
    <row r="380" spans="16:16" x14ac:dyDescent="0.3">
      <c r="P380" s="5"/>
    </row>
    <row r="382" spans="16:16" x14ac:dyDescent="0.3">
      <c r="P382" s="5"/>
    </row>
    <row r="384" spans="16:16" x14ac:dyDescent="0.3">
      <c r="P384" s="5"/>
    </row>
    <row r="385" spans="16:16" x14ac:dyDescent="0.3">
      <c r="P385" s="5"/>
    </row>
    <row r="386" spans="16:16" x14ac:dyDescent="0.3">
      <c r="P386" s="5"/>
    </row>
    <row r="387" spans="16:16" x14ac:dyDescent="0.3">
      <c r="P387" s="5"/>
    </row>
    <row r="388" spans="16:16" x14ac:dyDescent="0.3">
      <c r="P388" s="5"/>
    </row>
    <row r="389" spans="16:16" x14ac:dyDescent="0.3">
      <c r="P389" s="5"/>
    </row>
    <row r="390" spans="16:16" x14ac:dyDescent="0.3">
      <c r="P390" s="5"/>
    </row>
    <row r="391" spans="16:16" x14ac:dyDescent="0.3">
      <c r="P391" s="5"/>
    </row>
    <row r="392" spans="16:16" x14ac:dyDescent="0.3">
      <c r="P392" s="5"/>
    </row>
    <row r="393" spans="16:16" x14ac:dyDescent="0.3">
      <c r="P393" s="5"/>
    </row>
    <row r="394" spans="16:16" x14ac:dyDescent="0.3">
      <c r="P394" s="5"/>
    </row>
    <row r="395" spans="16:16" x14ac:dyDescent="0.3">
      <c r="P395" s="5"/>
    </row>
    <row r="396" spans="16:16" x14ac:dyDescent="0.3">
      <c r="P396" s="5"/>
    </row>
    <row r="397" spans="16:16" x14ac:dyDescent="0.3">
      <c r="P397" s="5"/>
    </row>
    <row r="398" spans="16:16" x14ac:dyDescent="0.3">
      <c r="P398" s="5"/>
    </row>
    <row r="399" spans="16:16" x14ac:dyDescent="0.3">
      <c r="P399" s="5"/>
    </row>
    <row r="400" spans="16:16" x14ac:dyDescent="0.3">
      <c r="P400" s="5"/>
    </row>
    <row r="401" spans="16:16" x14ac:dyDescent="0.3">
      <c r="P401" s="5"/>
    </row>
    <row r="402" spans="16:16" x14ac:dyDescent="0.3">
      <c r="P402" s="5"/>
    </row>
    <row r="403" spans="16:16" x14ac:dyDescent="0.3">
      <c r="P403" s="5"/>
    </row>
    <row r="404" spans="16:16" x14ac:dyDescent="0.3">
      <c r="P404" s="5"/>
    </row>
    <row r="405" spans="16:16" x14ac:dyDescent="0.3">
      <c r="P405" s="5"/>
    </row>
    <row r="406" spans="16:16" x14ac:dyDescent="0.3">
      <c r="P406" s="5"/>
    </row>
    <row r="407" spans="16:16" x14ac:dyDescent="0.3">
      <c r="P407" s="5"/>
    </row>
    <row r="408" spans="16:16" x14ac:dyDescent="0.3">
      <c r="P408" s="5"/>
    </row>
    <row r="409" spans="16:16" x14ac:dyDescent="0.3">
      <c r="P409" s="5"/>
    </row>
    <row r="410" spans="16:16" x14ac:dyDescent="0.3">
      <c r="P410" s="5"/>
    </row>
    <row r="412" spans="16:16" x14ac:dyDescent="0.3">
      <c r="P412" s="5"/>
    </row>
    <row r="413" spans="16:16" x14ac:dyDescent="0.3">
      <c r="P413" s="5"/>
    </row>
    <row r="415" spans="16:16" x14ac:dyDescent="0.3">
      <c r="P415" s="5"/>
    </row>
    <row r="416" spans="16:16" x14ac:dyDescent="0.3">
      <c r="P416" s="5"/>
    </row>
    <row r="417" spans="16:16" x14ac:dyDescent="0.3">
      <c r="P417" s="5"/>
    </row>
    <row r="418" spans="16:16" x14ac:dyDescent="0.3">
      <c r="P418" s="5"/>
    </row>
    <row r="419" spans="16:16" x14ac:dyDescent="0.3">
      <c r="P419" s="5"/>
    </row>
    <row r="420" spans="16:16" x14ac:dyDescent="0.3">
      <c r="P420" s="5"/>
    </row>
    <row r="421" spans="16:16" x14ac:dyDescent="0.3">
      <c r="P421" s="5"/>
    </row>
    <row r="422" spans="16:16" x14ac:dyDescent="0.3">
      <c r="P422" s="5"/>
    </row>
    <row r="423" spans="16:16" x14ac:dyDescent="0.3">
      <c r="P423" s="5"/>
    </row>
    <row r="424" spans="16:16" x14ac:dyDescent="0.3">
      <c r="P424" s="5"/>
    </row>
    <row r="425" spans="16:16" x14ac:dyDescent="0.3">
      <c r="P425" s="5"/>
    </row>
    <row r="426" spans="16:16" x14ac:dyDescent="0.3">
      <c r="P426" s="5"/>
    </row>
    <row r="428" spans="16:16" x14ac:dyDescent="0.3">
      <c r="P428" s="5"/>
    </row>
    <row r="429" spans="16:16" x14ac:dyDescent="0.3">
      <c r="P429" s="5"/>
    </row>
    <row r="431" spans="16:16" x14ac:dyDescent="0.3">
      <c r="P431" s="5"/>
    </row>
    <row r="432" spans="16:16" x14ac:dyDescent="0.3">
      <c r="P432" s="5"/>
    </row>
    <row r="433" spans="16:16" x14ac:dyDescent="0.3">
      <c r="P433" s="5"/>
    </row>
    <row r="434" spans="16:16" x14ac:dyDescent="0.3">
      <c r="P434" s="5"/>
    </row>
    <row r="436" spans="16:16" x14ac:dyDescent="0.3">
      <c r="P436" s="5"/>
    </row>
    <row r="437" spans="16:16" x14ac:dyDescent="0.3">
      <c r="P437" s="5"/>
    </row>
    <row r="438" spans="16:16" x14ac:dyDescent="0.3">
      <c r="P438" s="5"/>
    </row>
    <row r="439" spans="16:16" x14ac:dyDescent="0.3">
      <c r="P439" s="5"/>
    </row>
    <row r="440" spans="16:16" x14ac:dyDescent="0.3">
      <c r="P440" s="5"/>
    </row>
    <row r="441" spans="16:16" x14ac:dyDescent="0.3">
      <c r="P441" s="5"/>
    </row>
    <row r="444" spans="16:16" x14ac:dyDescent="0.3">
      <c r="P444" s="5"/>
    </row>
    <row r="449" spans="16:16" x14ac:dyDescent="0.3">
      <c r="P449" s="5"/>
    </row>
    <row r="455" spans="16:16" x14ac:dyDescent="0.3">
      <c r="P455" s="5"/>
    </row>
    <row r="456" spans="16:16" x14ac:dyDescent="0.3">
      <c r="P456" s="5"/>
    </row>
    <row r="458" spans="16:16" x14ac:dyDescent="0.3">
      <c r="P458" s="5"/>
    </row>
    <row r="459" spans="16:16" x14ac:dyDescent="0.3">
      <c r="P459" s="5"/>
    </row>
    <row r="460" spans="16:16" x14ac:dyDescent="0.3">
      <c r="P460" s="5"/>
    </row>
    <row r="463" spans="16:16" x14ac:dyDescent="0.3">
      <c r="P463" s="5"/>
    </row>
    <row r="464" spans="16:16" x14ac:dyDescent="0.3">
      <c r="P464" s="5"/>
    </row>
    <row r="465" spans="16:16" x14ac:dyDescent="0.3">
      <c r="P465" s="5"/>
    </row>
    <row r="467" spans="16:16" x14ac:dyDescent="0.3">
      <c r="P467" s="5"/>
    </row>
    <row r="468" spans="16:16" x14ac:dyDescent="0.3">
      <c r="P468" s="5"/>
    </row>
    <row r="469" spans="16:16" x14ac:dyDescent="0.3">
      <c r="P469" s="5"/>
    </row>
    <row r="470" spans="16:16" x14ac:dyDescent="0.3">
      <c r="P470" s="5"/>
    </row>
    <row r="471" spans="16:16" x14ac:dyDescent="0.3">
      <c r="P471" s="5"/>
    </row>
    <row r="472" spans="16:16" x14ac:dyDescent="0.3">
      <c r="P472" s="5"/>
    </row>
    <row r="473" spans="16:16" x14ac:dyDescent="0.3">
      <c r="P473" s="5"/>
    </row>
    <row r="474" spans="16:16" x14ac:dyDescent="0.3">
      <c r="P474" s="5"/>
    </row>
    <row r="475" spans="16:16" x14ac:dyDescent="0.3">
      <c r="P475" s="5"/>
    </row>
    <row r="476" spans="16:16" x14ac:dyDescent="0.3">
      <c r="P476" s="5"/>
    </row>
    <row r="477" spans="16:16" x14ac:dyDescent="0.3">
      <c r="P477" s="5"/>
    </row>
    <row r="478" spans="16:16" x14ac:dyDescent="0.3">
      <c r="P478" s="5"/>
    </row>
    <row r="479" spans="16:16" x14ac:dyDescent="0.3">
      <c r="P479" s="5"/>
    </row>
    <row r="480" spans="16:16" x14ac:dyDescent="0.3">
      <c r="P480" s="5"/>
    </row>
    <row r="481" spans="16:16" x14ac:dyDescent="0.3">
      <c r="P481" s="5"/>
    </row>
    <row r="482" spans="16:16" x14ac:dyDescent="0.3">
      <c r="P482" s="5"/>
    </row>
    <row r="483" spans="16:16" x14ac:dyDescent="0.3">
      <c r="P483" s="5"/>
    </row>
    <row r="484" spans="16:16" x14ac:dyDescent="0.3">
      <c r="P484" s="5"/>
    </row>
    <row r="485" spans="16:16" x14ac:dyDescent="0.3">
      <c r="P485" s="5"/>
    </row>
    <row r="486" spans="16:16" x14ac:dyDescent="0.3">
      <c r="P486" s="5"/>
    </row>
    <row r="487" spans="16:16" x14ac:dyDescent="0.3">
      <c r="P487" s="5"/>
    </row>
    <row r="488" spans="16:16" x14ac:dyDescent="0.3">
      <c r="P488" s="5"/>
    </row>
    <row r="489" spans="16:16" x14ac:dyDescent="0.3">
      <c r="P489" s="5"/>
    </row>
    <row r="490" spans="16:16" x14ac:dyDescent="0.3">
      <c r="P490" s="5"/>
    </row>
    <row r="491" spans="16:16" x14ac:dyDescent="0.3">
      <c r="P491" s="5"/>
    </row>
    <row r="492" spans="16:16" x14ac:dyDescent="0.3">
      <c r="P492" s="5"/>
    </row>
    <row r="493" spans="16:16" x14ac:dyDescent="0.3">
      <c r="P493" s="5"/>
    </row>
    <row r="494" spans="16:16" x14ac:dyDescent="0.3">
      <c r="P494" s="5"/>
    </row>
    <row r="495" spans="16:16" x14ac:dyDescent="0.3">
      <c r="P495" s="5"/>
    </row>
    <row r="496" spans="16:16" x14ac:dyDescent="0.3">
      <c r="P496" s="5"/>
    </row>
    <row r="498" spans="16:16" x14ac:dyDescent="0.3">
      <c r="P498" s="5"/>
    </row>
    <row r="499" spans="16:16" x14ac:dyDescent="0.3">
      <c r="P499" s="5"/>
    </row>
    <row r="500" spans="16:16" x14ac:dyDescent="0.3">
      <c r="P500" s="5"/>
    </row>
    <row r="501" spans="16:16" x14ac:dyDescent="0.3">
      <c r="P501" s="5"/>
    </row>
    <row r="503" spans="16:16" x14ac:dyDescent="0.3">
      <c r="P503" s="5"/>
    </row>
    <row r="504" spans="16:16" x14ac:dyDescent="0.3">
      <c r="P504" s="5"/>
    </row>
    <row r="505" spans="16:16" x14ac:dyDescent="0.3">
      <c r="P505" s="5"/>
    </row>
    <row r="507" spans="16:16" x14ac:dyDescent="0.3">
      <c r="P507" s="5"/>
    </row>
    <row r="508" spans="16:16" x14ac:dyDescent="0.3">
      <c r="P508" s="5"/>
    </row>
    <row r="509" spans="16:16" x14ac:dyDescent="0.3">
      <c r="P509" s="5"/>
    </row>
    <row r="510" spans="16:16" x14ac:dyDescent="0.3">
      <c r="P510" s="5"/>
    </row>
    <row r="511" spans="16:16" x14ac:dyDescent="0.3">
      <c r="P511" s="5"/>
    </row>
    <row r="512" spans="16:16" x14ac:dyDescent="0.3">
      <c r="P512" s="5"/>
    </row>
    <row r="513" spans="16:16" x14ac:dyDescent="0.3">
      <c r="P513" s="5"/>
    </row>
    <row r="514" spans="16:16" x14ac:dyDescent="0.3">
      <c r="P514" s="5"/>
    </row>
    <row r="515" spans="16:16" x14ac:dyDescent="0.3">
      <c r="P515" s="5"/>
    </row>
    <row r="516" spans="16:16" x14ac:dyDescent="0.3">
      <c r="P516" s="5"/>
    </row>
    <row r="517" spans="16:16" x14ac:dyDescent="0.3">
      <c r="P517" s="5"/>
    </row>
    <row r="518" spans="16:16" x14ac:dyDescent="0.3">
      <c r="P518" s="5"/>
    </row>
    <row r="519" spans="16:16" x14ac:dyDescent="0.3">
      <c r="P519" s="5"/>
    </row>
    <row r="521" spans="16:16" x14ac:dyDescent="0.3">
      <c r="P521" s="5"/>
    </row>
    <row r="522" spans="16:16" x14ac:dyDescent="0.3">
      <c r="P522" s="5"/>
    </row>
    <row r="523" spans="16:16" x14ac:dyDescent="0.3">
      <c r="P523" s="5"/>
    </row>
    <row r="525" spans="16:16" x14ac:dyDescent="0.3">
      <c r="P525" s="5"/>
    </row>
    <row r="526" spans="16:16" x14ac:dyDescent="0.3">
      <c r="P526" s="5"/>
    </row>
    <row r="527" spans="16:16" x14ac:dyDescent="0.3">
      <c r="P527" s="5"/>
    </row>
    <row r="528" spans="16:16" x14ac:dyDescent="0.3">
      <c r="P528" s="5"/>
    </row>
    <row r="529" spans="16:16" x14ac:dyDescent="0.3">
      <c r="P529" s="5"/>
    </row>
    <row r="530" spans="16:16" x14ac:dyDescent="0.3">
      <c r="P530" s="5"/>
    </row>
    <row r="531" spans="16:16" x14ac:dyDescent="0.3">
      <c r="P531" s="5"/>
    </row>
    <row r="532" spans="16:16" x14ac:dyDescent="0.3">
      <c r="P532" s="5"/>
    </row>
    <row r="533" spans="16:16" x14ac:dyDescent="0.3">
      <c r="P533" s="5"/>
    </row>
    <row r="534" spans="16:16" x14ac:dyDescent="0.3">
      <c r="P534" s="5"/>
    </row>
    <row r="535" spans="16:16" x14ac:dyDescent="0.3">
      <c r="P535" s="5"/>
    </row>
    <row r="536" spans="16:16" x14ac:dyDescent="0.3">
      <c r="P536" s="5"/>
    </row>
    <row r="537" spans="16:16" x14ac:dyDescent="0.3">
      <c r="P537" s="5"/>
    </row>
    <row r="538" spans="16:16" x14ac:dyDescent="0.3">
      <c r="P538" s="5"/>
    </row>
    <row r="539" spans="16:16" x14ac:dyDescent="0.3">
      <c r="P539" s="5"/>
    </row>
    <row r="541" spans="16:16" x14ac:dyDescent="0.3">
      <c r="P541" s="5"/>
    </row>
    <row r="544" spans="16:16" x14ac:dyDescent="0.3">
      <c r="P544" s="5"/>
    </row>
    <row r="545" spans="16:16" x14ac:dyDescent="0.3">
      <c r="P545" s="5"/>
    </row>
    <row r="546" spans="16:16" x14ac:dyDescent="0.3">
      <c r="P546" s="5"/>
    </row>
    <row r="547" spans="16:16" x14ac:dyDescent="0.3">
      <c r="P547" s="5"/>
    </row>
    <row r="548" spans="16:16" x14ac:dyDescent="0.3">
      <c r="P548" s="5"/>
    </row>
    <row r="549" spans="16:16" x14ac:dyDescent="0.3">
      <c r="P549" s="5"/>
    </row>
    <row r="551" spans="16:16" x14ac:dyDescent="0.3">
      <c r="P551" s="5"/>
    </row>
    <row r="553" spans="16:16" x14ac:dyDescent="0.3">
      <c r="P553" s="5"/>
    </row>
    <row r="554" spans="16:16" x14ac:dyDescent="0.3">
      <c r="P554" s="5"/>
    </row>
    <row r="557" spans="16:16" x14ac:dyDescent="0.3">
      <c r="P557" s="5"/>
    </row>
    <row r="558" spans="16:16" x14ac:dyDescent="0.3">
      <c r="P558" s="5"/>
    </row>
    <row r="560" spans="16:16" x14ac:dyDescent="0.3">
      <c r="P560" s="5"/>
    </row>
    <row r="561" spans="16:16" x14ac:dyDescent="0.3">
      <c r="P561" s="5"/>
    </row>
    <row r="562" spans="16:16" x14ac:dyDescent="0.3">
      <c r="P562" s="5"/>
    </row>
    <row r="563" spans="16:16" x14ac:dyDescent="0.3">
      <c r="P563" s="5"/>
    </row>
    <row r="565" spans="16:16" x14ac:dyDescent="0.3">
      <c r="P565" s="5"/>
    </row>
    <row r="566" spans="16:16" x14ac:dyDescent="0.3">
      <c r="P566" s="5"/>
    </row>
    <row r="567" spans="16:16" x14ac:dyDescent="0.3">
      <c r="P567" s="5"/>
    </row>
    <row r="568" spans="16:16" x14ac:dyDescent="0.3">
      <c r="P568" s="5"/>
    </row>
    <row r="574" spans="16:16" x14ac:dyDescent="0.3">
      <c r="P574" s="5"/>
    </row>
    <row r="575" spans="16:16" x14ac:dyDescent="0.3">
      <c r="P575" s="5"/>
    </row>
    <row r="577" spans="16:16" x14ac:dyDescent="0.3">
      <c r="P577" s="5"/>
    </row>
    <row r="578" spans="16:16" x14ac:dyDescent="0.3">
      <c r="P578" s="5"/>
    </row>
    <row r="580" spans="16:16" x14ac:dyDescent="0.3">
      <c r="P580" s="5"/>
    </row>
    <row r="581" spans="16:16" x14ac:dyDescent="0.3">
      <c r="P581" s="5"/>
    </row>
    <row r="582" spans="16:16" x14ac:dyDescent="0.3">
      <c r="P582" s="5"/>
    </row>
    <row r="583" spans="16:16" x14ac:dyDescent="0.3">
      <c r="P583" s="5"/>
    </row>
    <row r="584" spans="16:16" x14ac:dyDescent="0.3">
      <c r="P584" s="5"/>
    </row>
    <row r="585" spans="16:16" x14ac:dyDescent="0.3">
      <c r="P585" s="5"/>
    </row>
    <row r="586" spans="16:16" x14ac:dyDescent="0.3">
      <c r="P586" s="5"/>
    </row>
    <row r="587" spans="16:16" x14ac:dyDescent="0.3">
      <c r="P587" s="5"/>
    </row>
    <row r="588" spans="16:16" x14ac:dyDescent="0.3">
      <c r="P588" s="5"/>
    </row>
    <row r="590" spans="16:16" x14ac:dyDescent="0.3">
      <c r="P590" s="5"/>
    </row>
    <row r="591" spans="16:16" x14ac:dyDescent="0.3">
      <c r="P591" s="5"/>
    </row>
    <row r="592" spans="16:16" x14ac:dyDescent="0.3">
      <c r="P592" s="5"/>
    </row>
    <row r="593" spans="16:16" x14ac:dyDescent="0.3">
      <c r="P593" s="5"/>
    </row>
    <row r="594" spans="16:16" x14ac:dyDescent="0.3">
      <c r="P594" s="5"/>
    </row>
    <row r="595" spans="16:16" x14ac:dyDescent="0.3">
      <c r="P595" s="5"/>
    </row>
    <row r="596" spans="16:16" x14ac:dyDescent="0.3">
      <c r="P596" s="5"/>
    </row>
    <row r="597" spans="16:16" x14ac:dyDescent="0.3">
      <c r="P597" s="5"/>
    </row>
    <row r="598" spans="16:16" x14ac:dyDescent="0.3">
      <c r="P598" s="5"/>
    </row>
    <row r="599" spans="16:16" x14ac:dyDescent="0.3">
      <c r="P599" s="5"/>
    </row>
    <row r="600" spans="16:16" x14ac:dyDescent="0.3">
      <c r="P600" s="5"/>
    </row>
    <row r="601" spans="16:16" x14ac:dyDescent="0.3">
      <c r="P601" s="5"/>
    </row>
    <row r="602" spans="16:16" x14ac:dyDescent="0.3">
      <c r="P602" s="5"/>
    </row>
    <row r="604" spans="16:16" x14ac:dyDescent="0.3">
      <c r="P604" s="5"/>
    </row>
    <row r="605" spans="16:16" x14ac:dyDescent="0.3">
      <c r="P605" s="5"/>
    </row>
    <row r="606" spans="16:16" x14ac:dyDescent="0.3">
      <c r="P606" s="5"/>
    </row>
    <row r="607" spans="16:16" x14ac:dyDescent="0.3">
      <c r="P607" s="5"/>
    </row>
    <row r="608" spans="16:16" x14ac:dyDescent="0.3">
      <c r="P608" s="5"/>
    </row>
    <row r="609" spans="16:16" x14ac:dyDescent="0.3">
      <c r="P609" s="5"/>
    </row>
    <row r="611" spans="16:16" x14ac:dyDescent="0.3">
      <c r="P611" s="5"/>
    </row>
    <row r="612" spans="16:16" x14ac:dyDescent="0.3">
      <c r="P612" s="5"/>
    </row>
    <row r="613" spans="16:16" x14ac:dyDescent="0.3">
      <c r="P613" s="5"/>
    </row>
    <row r="616" spans="16:16" x14ac:dyDescent="0.3">
      <c r="P616" s="5"/>
    </row>
    <row r="617" spans="16:16" x14ac:dyDescent="0.3">
      <c r="P617" s="5"/>
    </row>
    <row r="618" spans="16:16" x14ac:dyDescent="0.3">
      <c r="P618" s="5"/>
    </row>
    <row r="619" spans="16:16" x14ac:dyDescent="0.3">
      <c r="P619" s="5"/>
    </row>
    <row r="620" spans="16:16" x14ac:dyDescent="0.3">
      <c r="P620" s="5"/>
    </row>
    <row r="621" spans="16:16" x14ac:dyDescent="0.3">
      <c r="P621" s="5"/>
    </row>
    <row r="622" spans="16:16" x14ac:dyDescent="0.3">
      <c r="P622" s="5"/>
    </row>
    <row r="623" spans="16:16" x14ac:dyDescent="0.3">
      <c r="P623" s="5"/>
    </row>
    <row r="624" spans="16:16" x14ac:dyDescent="0.3">
      <c r="P624" s="5"/>
    </row>
    <row r="625" spans="16:16" x14ac:dyDescent="0.3">
      <c r="P625" s="5"/>
    </row>
    <row r="626" spans="16:16" x14ac:dyDescent="0.3">
      <c r="P626" s="5"/>
    </row>
    <row r="627" spans="16:16" x14ac:dyDescent="0.3">
      <c r="P627" s="5"/>
    </row>
    <row r="628" spans="16:16" x14ac:dyDescent="0.3">
      <c r="P628" s="5"/>
    </row>
    <row r="629" spans="16:16" x14ac:dyDescent="0.3">
      <c r="P629" s="5"/>
    </row>
    <row r="630" spans="16:16" x14ac:dyDescent="0.3">
      <c r="P630" s="5"/>
    </row>
    <row r="631" spans="16:16" x14ac:dyDescent="0.3">
      <c r="P631" s="5"/>
    </row>
    <row r="632" spans="16:16" x14ac:dyDescent="0.3">
      <c r="P632" s="5"/>
    </row>
    <row r="633" spans="16:16" x14ac:dyDescent="0.3">
      <c r="P633" s="5"/>
    </row>
    <row r="634" spans="16:16" x14ac:dyDescent="0.3">
      <c r="P634" s="5"/>
    </row>
    <row r="635" spans="16:16" x14ac:dyDescent="0.3">
      <c r="P635" s="5"/>
    </row>
    <row r="636" spans="16:16" x14ac:dyDescent="0.3">
      <c r="P636" s="5"/>
    </row>
    <row r="637" spans="16:16" x14ac:dyDescent="0.3">
      <c r="P637" s="5"/>
    </row>
    <row r="638" spans="16:16" x14ac:dyDescent="0.3">
      <c r="P638" s="5"/>
    </row>
    <row r="639" spans="16:16" x14ac:dyDescent="0.3">
      <c r="P639" s="5"/>
    </row>
    <row r="640" spans="16:16" x14ac:dyDescent="0.3">
      <c r="P640" s="5"/>
    </row>
    <row r="641" spans="16:16" x14ac:dyDescent="0.3">
      <c r="P641" s="5"/>
    </row>
    <row r="642" spans="16:16" x14ac:dyDescent="0.3">
      <c r="P642" s="5"/>
    </row>
    <row r="644" spans="16:16" x14ac:dyDescent="0.3">
      <c r="P644" s="5"/>
    </row>
    <row r="645" spans="16:16" x14ac:dyDescent="0.3">
      <c r="P645" s="5"/>
    </row>
    <row r="646" spans="16:16" x14ac:dyDescent="0.3">
      <c r="P646" s="5"/>
    </row>
    <row r="647" spans="16:16" x14ac:dyDescent="0.3">
      <c r="P647" s="5"/>
    </row>
    <row r="648" spans="16:16" x14ac:dyDescent="0.3">
      <c r="P648" s="5"/>
    </row>
    <row r="649" spans="16:16" x14ac:dyDescent="0.3">
      <c r="P649" s="5"/>
    </row>
    <row r="650" spans="16:16" x14ac:dyDescent="0.3">
      <c r="P650" s="5"/>
    </row>
    <row r="651" spans="16:16" x14ac:dyDescent="0.3">
      <c r="P651" s="5"/>
    </row>
    <row r="652" spans="16:16" x14ac:dyDescent="0.3">
      <c r="P652" s="5"/>
    </row>
    <row r="653" spans="16:16" x14ac:dyDescent="0.3">
      <c r="P653" s="5"/>
    </row>
    <row r="654" spans="16:16" x14ac:dyDescent="0.3">
      <c r="P654" s="5"/>
    </row>
    <row r="655" spans="16:16" x14ac:dyDescent="0.3">
      <c r="P655" s="5"/>
    </row>
    <row r="656" spans="16:16" x14ac:dyDescent="0.3">
      <c r="P656" s="5"/>
    </row>
    <row r="657" spans="16:16" x14ac:dyDescent="0.3">
      <c r="P657" s="5"/>
    </row>
    <row r="658" spans="16:16" x14ac:dyDescent="0.3">
      <c r="P658" s="5"/>
    </row>
    <row r="659" spans="16:16" x14ac:dyDescent="0.3">
      <c r="P659" s="5"/>
    </row>
    <row r="660" spans="16:16" x14ac:dyDescent="0.3">
      <c r="P660" s="5"/>
    </row>
    <row r="661" spans="16:16" x14ac:dyDescent="0.3">
      <c r="P661" s="5"/>
    </row>
    <row r="662" spans="16:16" x14ac:dyDescent="0.3">
      <c r="P662" s="5"/>
    </row>
    <row r="663" spans="16:16" x14ac:dyDescent="0.3">
      <c r="P663" s="5"/>
    </row>
    <row r="664" spans="16:16" x14ac:dyDescent="0.3">
      <c r="P664" s="5"/>
    </row>
    <row r="665" spans="16:16" x14ac:dyDescent="0.3">
      <c r="P665" s="5"/>
    </row>
    <row r="666" spans="16:16" x14ac:dyDescent="0.3">
      <c r="P666" s="5"/>
    </row>
    <row r="667" spans="16:16" x14ac:dyDescent="0.3">
      <c r="P667" s="5"/>
    </row>
    <row r="669" spans="16:16" x14ac:dyDescent="0.3">
      <c r="P669" s="5"/>
    </row>
    <row r="670" spans="16:16" x14ac:dyDescent="0.3">
      <c r="P670" s="5"/>
    </row>
    <row r="671" spans="16:16" x14ac:dyDescent="0.3">
      <c r="P671" s="5"/>
    </row>
    <row r="672" spans="16:16" x14ac:dyDescent="0.3">
      <c r="P672" s="5"/>
    </row>
    <row r="673" spans="16:16" x14ac:dyDescent="0.3">
      <c r="P673" s="5"/>
    </row>
    <row r="675" spans="16:16" x14ac:dyDescent="0.3">
      <c r="P675" s="5"/>
    </row>
    <row r="677" spans="16:16" x14ac:dyDescent="0.3">
      <c r="P677" s="5"/>
    </row>
    <row r="678" spans="16:16" x14ac:dyDescent="0.3">
      <c r="P678" s="5"/>
    </row>
    <row r="679" spans="16:16" x14ac:dyDescent="0.3">
      <c r="P679" s="5"/>
    </row>
    <row r="680" spans="16:16" x14ac:dyDescent="0.3">
      <c r="P680" s="5"/>
    </row>
    <row r="681" spans="16:16" x14ac:dyDescent="0.3">
      <c r="P681" s="5"/>
    </row>
    <row r="682" spans="16:16" x14ac:dyDescent="0.3">
      <c r="P682" s="5"/>
    </row>
    <row r="683" spans="16:16" x14ac:dyDescent="0.3">
      <c r="P683" s="5"/>
    </row>
    <row r="684" spans="16:16" x14ac:dyDescent="0.3">
      <c r="P684" s="5"/>
    </row>
    <row r="685" spans="16:16" x14ac:dyDescent="0.3">
      <c r="P685" s="5"/>
    </row>
    <row r="686" spans="16:16" x14ac:dyDescent="0.3">
      <c r="P686" s="5"/>
    </row>
    <row r="687" spans="16:16" x14ac:dyDescent="0.3">
      <c r="P687" s="5"/>
    </row>
    <row r="688" spans="16:16" x14ac:dyDescent="0.3">
      <c r="P688" s="5"/>
    </row>
    <row r="689" spans="16:16" x14ac:dyDescent="0.3">
      <c r="P689" s="5"/>
    </row>
    <row r="690" spans="16:16" x14ac:dyDescent="0.3">
      <c r="P690" s="5"/>
    </row>
    <row r="691" spans="16:16" x14ac:dyDescent="0.3">
      <c r="P691" s="5"/>
    </row>
    <row r="693" spans="16:16" x14ac:dyDescent="0.3">
      <c r="P693" s="5"/>
    </row>
    <row r="695" spans="16:16" x14ac:dyDescent="0.3">
      <c r="P695" s="5"/>
    </row>
    <row r="696" spans="16:16" x14ac:dyDescent="0.3">
      <c r="P696" s="5"/>
    </row>
    <row r="697" spans="16:16" x14ac:dyDescent="0.3">
      <c r="P697" s="5"/>
    </row>
    <row r="699" spans="16:16" x14ac:dyDescent="0.3">
      <c r="P699" s="5"/>
    </row>
    <row r="700" spans="16:16" x14ac:dyDescent="0.3">
      <c r="P700" s="5"/>
    </row>
    <row r="701" spans="16:16" x14ac:dyDescent="0.3">
      <c r="P701" s="5"/>
    </row>
    <row r="702" spans="16:16" x14ac:dyDescent="0.3">
      <c r="P702" s="5"/>
    </row>
    <row r="703" spans="16:16" x14ac:dyDescent="0.3">
      <c r="P703" s="5"/>
    </row>
    <row r="705" spans="16:16" x14ac:dyDescent="0.3">
      <c r="P705" s="5"/>
    </row>
    <row r="706" spans="16:16" x14ac:dyDescent="0.3">
      <c r="P706" s="5"/>
    </row>
    <row r="707" spans="16:16" x14ac:dyDescent="0.3">
      <c r="P707" s="5"/>
    </row>
    <row r="709" spans="16:16" x14ac:dyDescent="0.3">
      <c r="P709" s="5"/>
    </row>
    <row r="710" spans="16:16" x14ac:dyDescent="0.3">
      <c r="P710" s="5"/>
    </row>
    <row r="718" spans="16:16" x14ac:dyDescent="0.3">
      <c r="P718" s="5"/>
    </row>
    <row r="723" spans="16:16" x14ac:dyDescent="0.3">
      <c r="P723" s="5"/>
    </row>
    <row r="724" spans="16:16" x14ac:dyDescent="0.3">
      <c r="P724" s="5"/>
    </row>
    <row r="725" spans="16:16" x14ac:dyDescent="0.3">
      <c r="P725" s="5"/>
    </row>
    <row r="726" spans="16:16" x14ac:dyDescent="0.3">
      <c r="P726" s="5"/>
    </row>
    <row r="727" spans="16:16" x14ac:dyDescent="0.3">
      <c r="P727" s="5"/>
    </row>
    <row r="728" spans="16:16" x14ac:dyDescent="0.3">
      <c r="P728" s="5"/>
    </row>
    <row r="729" spans="16:16" x14ac:dyDescent="0.3">
      <c r="P729" s="5"/>
    </row>
    <row r="730" spans="16:16" x14ac:dyDescent="0.3">
      <c r="P730" s="5"/>
    </row>
    <row r="731" spans="16:16" x14ac:dyDescent="0.3">
      <c r="P731" s="5"/>
    </row>
    <row r="732" spans="16:16" x14ac:dyDescent="0.3">
      <c r="P732" s="5"/>
    </row>
    <row r="733" spans="16:16" x14ac:dyDescent="0.3">
      <c r="P733" s="5"/>
    </row>
    <row r="734" spans="16:16" x14ac:dyDescent="0.3">
      <c r="P734" s="5"/>
    </row>
    <row r="735" spans="16:16" x14ac:dyDescent="0.3">
      <c r="P735" s="5"/>
    </row>
    <row r="736" spans="16:16" x14ac:dyDescent="0.3">
      <c r="P736" s="5"/>
    </row>
    <row r="737" spans="16:16" x14ac:dyDescent="0.3">
      <c r="P737" s="5"/>
    </row>
    <row r="738" spans="16:16" x14ac:dyDescent="0.3">
      <c r="P738" s="5"/>
    </row>
    <row r="739" spans="16:16" x14ac:dyDescent="0.3">
      <c r="P739" s="5"/>
    </row>
    <row r="740" spans="16:16" x14ac:dyDescent="0.3">
      <c r="P740" s="5"/>
    </row>
    <row r="741" spans="16:16" x14ac:dyDescent="0.3">
      <c r="P741" s="5"/>
    </row>
    <row r="742" spans="16:16" x14ac:dyDescent="0.3">
      <c r="P742" s="5"/>
    </row>
    <row r="743" spans="16:16" x14ac:dyDescent="0.3">
      <c r="P743" s="5"/>
    </row>
    <row r="744" spans="16:16" x14ac:dyDescent="0.3">
      <c r="P744" s="5"/>
    </row>
    <row r="745" spans="16:16" x14ac:dyDescent="0.3">
      <c r="P745" s="5"/>
    </row>
    <row r="746" spans="16:16" x14ac:dyDescent="0.3">
      <c r="P746" s="5"/>
    </row>
    <row r="747" spans="16:16" x14ac:dyDescent="0.3">
      <c r="P747" s="5"/>
    </row>
    <row r="748" spans="16:16" x14ac:dyDescent="0.3">
      <c r="P748" s="5"/>
    </row>
    <row r="749" spans="16:16" x14ac:dyDescent="0.3">
      <c r="P749" s="5"/>
    </row>
    <row r="750" spans="16:16" x14ac:dyDescent="0.3">
      <c r="P750" s="5"/>
    </row>
    <row r="751" spans="16:16" x14ac:dyDescent="0.3">
      <c r="P751" s="5"/>
    </row>
    <row r="752" spans="16:16" x14ac:dyDescent="0.3">
      <c r="P752" s="5"/>
    </row>
    <row r="753" spans="16:16" x14ac:dyDescent="0.3">
      <c r="P753" s="5"/>
    </row>
    <row r="754" spans="16:16" x14ac:dyDescent="0.3">
      <c r="P754" s="5"/>
    </row>
    <row r="755" spans="16:16" x14ac:dyDescent="0.3">
      <c r="P755" s="5"/>
    </row>
    <row r="756" spans="16:16" x14ac:dyDescent="0.3">
      <c r="P756" s="5"/>
    </row>
    <row r="757" spans="16:16" x14ac:dyDescent="0.3">
      <c r="P757" s="5"/>
    </row>
    <row r="758" spans="16:16" x14ac:dyDescent="0.3">
      <c r="P758" s="5"/>
    </row>
    <row r="759" spans="16:16" x14ac:dyDescent="0.3">
      <c r="P759" s="5"/>
    </row>
    <row r="760" spans="16:16" x14ac:dyDescent="0.3">
      <c r="P760" s="5"/>
    </row>
    <row r="761" spans="16:16" x14ac:dyDescent="0.3">
      <c r="P761" s="5"/>
    </row>
    <row r="762" spans="16:16" x14ac:dyDescent="0.3">
      <c r="P762" s="5"/>
    </row>
    <row r="765" spans="16:16" x14ac:dyDescent="0.3">
      <c r="P765" s="5"/>
    </row>
    <row r="766" spans="16:16" x14ac:dyDescent="0.3">
      <c r="P766" s="5"/>
    </row>
    <row r="767" spans="16:16" x14ac:dyDescent="0.3">
      <c r="P767" s="5"/>
    </row>
    <row r="768" spans="16:16" x14ac:dyDescent="0.3">
      <c r="P768" s="5"/>
    </row>
    <row r="769" spans="16:16" x14ac:dyDescent="0.3">
      <c r="P769" s="5"/>
    </row>
    <row r="770" spans="16:16" x14ac:dyDescent="0.3">
      <c r="P770" s="5"/>
    </row>
    <row r="771" spans="16:16" x14ac:dyDescent="0.3">
      <c r="P771" s="5"/>
    </row>
    <row r="772" spans="16:16" x14ac:dyDescent="0.3">
      <c r="P772" s="5"/>
    </row>
    <row r="773" spans="16:16" x14ac:dyDescent="0.3">
      <c r="P773" s="5"/>
    </row>
    <row r="774" spans="16:16" x14ac:dyDescent="0.3">
      <c r="P774" s="5"/>
    </row>
    <row r="775" spans="16:16" x14ac:dyDescent="0.3">
      <c r="P775" s="5"/>
    </row>
    <row r="776" spans="16:16" x14ac:dyDescent="0.3">
      <c r="P776" s="5"/>
    </row>
    <row r="777" spans="16:16" x14ac:dyDescent="0.3">
      <c r="P777" s="5"/>
    </row>
    <row r="778" spans="16:16" x14ac:dyDescent="0.3">
      <c r="P778" s="5"/>
    </row>
    <row r="779" spans="16:16" x14ac:dyDescent="0.3">
      <c r="P779" s="5"/>
    </row>
    <row r="780" spans="16:16" x14ac:dyDescent="0.3">
      <c r="P780" s="5"/>
    </row>
    <row r="781" spans="16:16" x14ac:dyDescent="0.3">
      <c r="P781" s="5"/>
    </row>
    <row r="782" spans="16:16" x14ac:dyDescent="0.3">
      <c r="P782" s="5"/>
    </row>
    <row r="783" spans="16:16" x14ac:dyDescent="0.3">
      <c r="P783" s="5"/>
    </row>
    <row r="784" spans="16:16" x14ac:dyDescent="0.3">
      <c r="P784" s="5"/>
    </row>
    <row r="785" spans="16:16" x14ac:dyDescent="0.3">
      <c r="P785" s="5"/>
    </row>
    <row r="786" spans="16:16" x14ac:dyDescent="0.3">
      <c r="P786" s="5"/>
    </row>
    <row r="787" spans="16:16" x14ac:dyDescent="0.3">
      <c r="P787" s="5"/>
    </row>
    <row r="788" spans="16:16" x14ac:dyDescent="0.3">
      <c r="P788" s="5"/>
    </row>
    <row r="789" spans="16:16" x14ac:dyDescent="0.3">
      <c r="P789" s="5"/>
    </row>
    <row r="790" spans="16:16" x14ac:dyDescent="0.3">
      <c r="P790" s="5"/>
    </row>
    <row r="791" spans="16:16" x14ac:dyDescent="0.3">
      <c r="P791" s="5"/>
    </row>
    <row r="792" spans="16:16" x14ac:dyDescent="0.3">
      <c r="P792" s="5"/>
    </row>
    <row r="793" spans="16:16" x14ac:dyDescent="0.3">
      <c r="P793" s="5"/>
    </row>
    <row r="794" spans="16:16" x14ac:dyDescent="0.3">
      <c r="P794" s="5"/>
    </row>
    <row r="795" spans="16:16" x14ac:dyDescent="0.3">
      <c r="P795" s="5"/>
    </row>
    <row r="796" spans="16:16" x14ac:dyDescent="0.3">
      <c r="P796" s="5"/>
    </row>
    <row r="797" spans="16:16" x14ac:dyDescent="0.3">
      <c r="P797" s="5"/>
    </row>
    <row r="798" spans="16:16" x14ac:dyDescent="0.3">
      <c r="P798" s="5"/>
    </row>
    <row r="799" spans="16:16" x14ac:dyDescent="0.3">
      <c r="P799" s="5"/>
    </row>
    <row r="801" spans="16:16" x14ac:dyDescent="0.3">
      <c r="P801" s="5"/>
    </row>
    <row r="802" spans="16:16" x14ac:dyDescent="0.3">
      <c r="P802" s="5"/>
    </row>
    <row r="803" spans="16:16" x14ac:dyDescent="0.3">
      <c r="P803" s="5"/>
    </row>
    <row r="804" spans="16:16" x14ac:dyDescent="0.3">
      <c r="P804" s="5"/>
    </row>
    <row r="805" spans="16:16" x14ac:dyDescent="0.3">
      <c r="P805" s="5"/>
    </row>
    <row r="806" spans="16:16" x14ac:dyDescent="0.3">
      <c r="P806" s="5"/>
    </row>
    <row r="807" spans="16:16" x14ac:dyDescent="0.3">
      <c r="P807" s="5"/>
    </row>
    <row r="808" spans="16:16" x14ac:dyDescent="0.3">
      <c r="P808" s="5"/>
    </row>
    <row r="809" spans="16:16" x14ac:dyDescent="0.3">
      <c r="P809" s="5"/>
    </row>
    <row r="810" spans="16:16" x14ac:dyDescent="0.3">
      <c r="P810" s="5"/>
    </row>
    <row r="811" spans="16:16" x14ac:dyDescent="0.3">
      <c r="P811" s="5"/>
    </row>
    <row r="812" spans="16:16" x14ac:dyDescent="0.3">
      <c r="P812" s="5"/>
    </row>
    <row r="813" spans="16:16" x14ac:dyDescent="0.3">
      <c r="P813" s="5"/>
    </row>
    <row r="814" spans="16:16" x14ac:dyDescent="0.3">
      <c r="P814" s="5"/>
    </row>
    <row r="815" spans="16:16" x14ac:dyDescent="0.3">
      <c r="P815" s="5"/>
    </row>
    <row r="817" spans="16:16" x14ac:dyDescent="0.3">
      <c r="P817" s="5"/>
    </row>
    <row r="818" spans="16:16" x14ac:dyDescent="0.3">
      <c r="P818" s="5"/>
    </row>
    <row r="819" spans="16:16" x14ac:dyDescent="0.3">
      <c r="P819" s="5"/>
    </row>
    <row r="820" spans="16:16" x14ac:dyDescent="0.3">
      <c r="P820" s="5"/>
    </row>
    <row r="821" spans="16:16" x14ac:dyDescent="0.3">
      <c r="P821" s="5"/>
    </row>
    <row r="822" spans="16:16" x14ac:dyDescent="0.3">
      <c r="P822" s="5"/>
    </row>
    <row r="823" spans="16:16" x14ac:dyDescent="0.3">
      <c r="P823" s="5"/>
    </row>
    <row r="825" spans="16:16" x14ac:dyDescent="0.3">
      <c r="P825" s="5"/>
    </row>
    <row r="826" spans="16:16" x14ac:dyDescent="0.3">
      <c r="P826" s="5"/>
    </row>
    <row r="827" spans="16:16" x14ac:dyDescent="0.3">
      <c r="P827" s="5"/>
    </row>
    <row r="828" spans="16:16" x14ac:dyDescent="0.3">
      <c r="P828" s="5"/>
    </row>
    <row r="829" spans="16:16" x14ac:dyDescent="0.3">
      <c r="P829" s="5"/>
    </row>
    <row r="830" spans="16:16" x14ac:dyDescent="0.3">
      <c r="P830" s="5"/>
    </row>
    <row r="832" spans="16:16" x14ac:dyDescent="0.3">
      <c r="P832" s="5"/>
    </row>
    <row r="833" spans="16:16" x14ac:dyDescent="0.3">
      <c r="P833" s="5"/>
    </row>
    <row r="834" spans="16:16" x14ac:dyDescent="0.3">
      <c r="P834" s="5"/>
    </row>
    <row r="835" spans="16:16" x14ac:dyDescent="0.3">
      <c r="P835" s="5"/>
    </row>
    <row r="836" spans="16:16" x14ac:dyDescent="0.3">
      <c r="P836" s="5"/>
    </row>
    <row r="837" spans="16:16" x14ac:dyDescent="0.3">
      <c r="P837" s="5"/>
    </row>
    <row r="838" spans="16:16" x14ac:dyDescent="0.3">
      <c r="P838" s="5"/>
    </row>
    <row r="839" spans="16:16" x14ac:dyDescent="0.3">
      <c r="P839" s="5"/>
    </row>
    <row r="840" spans="16:16" x14ac:dyDescent="0.3">
      <c r="P840" s="5"/>
    </row>
    <row r="841" spans="16:16" x14ac:dyDescent="0.3">
      <c r="P841" s="5"/>
    </row>
    <row r="842" spans="16:16" x14ac:dyDescent="0.3">
      <c r="P842" s="5"/>
    </row>
    <row r="843" spans="16:16" x14ac:dyDescent="0.3">
      <c r="P843" s="5"/>
    </row>
    <row r="844" spans="16:16" x14ac:dyDescent="0.3">
      <c r="P844" s="5"/>
    </row>
    <row r="846" spans="16:16" x14ac:dyDescent="0.3">
      <c r="P846" s="5"/>
    </row>
    <row r="847" spans="16:16" x14ac:dyDescent="0.3">
      <c r="P847" s="5"/>
    </row>
    <row r="850" spans="16:16" x14ac:dyDescent="0.3">
      <c r="P850" s="5"/>
    </row>
    <row r="851" spans="16:16" x14ac:dyDescent="0.3">
      <c r="P851" s="5"/>
    </row>
    <row r="852" spans="16:16" x14ac:dyDescent="0.3">
      <c r="P852" s="5"/>
    </row>
    <row r="853" spans="16:16" x14ac:dyDescent="0.3">
      <c r="P853" s="5"/>
    </row>
    <row r="854" spans="16:16" x14ac:dyDescent="0.3">
      <c r="P854" s="5"/>
    </row>
    <row r="855" spans="16:16" x14ac:dyDescent="0.3">
      <c r="P855" s="5"/>
    </row>
    <row r="857" spans="16:16" x14ac:dyDescent="0.3">
      <c r="P857" s="5"/>
    </row>
    <row r="858" spans="16:16" x14ac:dyDescent="0.3">
      <c r="P858" s="5"/>
    </row>
    <row r="859" spans="16:16" x14ac:dyDescent="0.3">
      <c r="P859" s="5"/>
    </row>
    <row r="860" spans="16:16" x14ac:dyDescent="0.3">
      <c r="P860" s="5"/>
    </row>
    <row r="863" spans="16:16" x14ac:dyDescent="0.3">
      <c r="P863" s="5"/>
    </row>
    <row r="864" spans="16:16" x14ac:dyDescent="0.3">
      <c r="P864" s="5"/>
    </row>
    <row r="866" spans="16:16" x14ac:dyDescent="0.3">
      <c r="P866" s="5"/>
    </row>
    <row r="867" spans="16:16" x14ac:dyDescent="0.3">
      <c r="P867" s="5"/>
    </row>
    <row r="868" spans="16:16" x14ac:dyDescent="0.3">
      <c r="P868" s="5"/>
    </row>
    <row r="873" spans="16:16" x14ac:dyDescent="0.3">
      <c r="P873" s="5"/>
    </row>
    <row r="875" spans="16:16" x14ac:dyDescent="0.3">
      <c r="P875" s="5"/>
    </row>
    <row r="877" spans="16:16" x14ac:dyDescent="0.3">
      <c r="P877" s="5"/>
    </row>
    <row r="880" spans="16:16" x14ac:dyDescent="0.3">
      <c r="P880" s="5"/>
    </row>
    <row r="881" spans="16:16" x14ac:dyDescent="0.3">
      <c r="P881" s="5"/>
    </row>
    <row r="882" spans="16:16" x14ac:dyDescent="0.3">
      <c r="P882" s="5"/>
    </row>
    <row r="883" spans="16:16" x14ac:dyDescent="0.3">
      <c r="P883" s="5"/>
    </row>
    <row r="885" spans="16:16" x14ac:dyDescent="0.3">
      <c r="P885" s="5"/>
    </row>
    <row r="886" spans="16:16" x14ac:dyDescent="0.3">
      <c r="P886" s="5"/>
    </row>
    <row r="888" spans="16:16" x14ac:dyDescent="0.3">
      <c r="P888" s="5"/>
    </row>
    <row r="889" spans="16:16" x14ac:dyDescent="0.3">
      <c r="P889" s="5"/>
    </row>
    <row r="890" spans="16:16" x14ac:dyDescent="0.3">
      <c r="P890" s="5"/>
    </row>
    <row r="891" spans="16:16" x14ac:dyDescent="0.3">
      <c r="P891" s="5"/>
    </row>
    <row r="892" spans="16:16" x14ac:dyDescent="0.3">
      <c r="P892" s="5"/>
    </row>
    <row r="893" spans="16:16" x14ac:dyDescent="0.3">
      <c r="P893" s="5"/>
    </row>
    <row r="894" spans="16:16" x14ac:dyDescent="0.3">
      <c r="P894" s="5"/>
    </row>
    <row r="895" spans="16:16" x14ac:dyDescent="0.3">
      <c r="P895" s="5"/>
    </row>
    <row r="896" spans="16:16" x14ac:dyDescent="0.3">
      <c r="P896" s="5"/>
    </row>
    <row r="897" spans="16:16" x14ac:dyDescent="0.3">
      <c r="P897" s="5"/>
    </row>
    <row r="898" spans="16:16" x14ac:dyDescent="0.3">
      <c r="P898" s="5"/>
    </row>
    <row r="899" spans="16:16" x14ac:dyDescent="0.3">
      <c r="P899" s="5"/>
    </row>
    <row r="900" spans="16:16" x14ac:dyDescent="0.3">
      <c r="P900" s="5"/>
    </row>
    <row r="902" spans="16:16" x14ac:dyDescent="0.3">
      <c r="P902" s="5"/>
    </row>
    <row r="903" spans="16:16" x14ac:dyDescent="0.3">
      <c r="P903" s="5"/>
    </row>
    <row r="904" spans="16:16" x14ac:dyDescent="0.3">
      <c r="P904" s="5"/>
    </row>
    <row r="905" spans="16:16" x14ac:dyDescent="0.3">
      <c r="P905" s="5"/>
    </row>
    <row r="906" spans="16:16" x14ac:dyDescent="0.3">
      <c r="P906" s="5"/>
    </row>
    <row r="907" spans="16:16" x14ac:dyDescent="0.3">
      <c r="P907" s="5"/>
    </row>
    <row r="908" spans="16:16" x14ac:dyDescent="0.3">
      <c r="P908" s="5"/>
    </row>
    <row r="909" spans="16:16" x14ac:dyDescent="0.3">
      <c r="P909" s="5"/>
    </row>
    <row r="910" spans="16:16" x14ac:dyDescent="0.3">
      <c r="P910" s="5"/>
    </row>
    <row r="912" spans="16:16" x14ac:dyDescent="0.3">
      <c r="P912" s="5"/>
    </row>
    <row r="913" spans="16:16" x14ac:dyDescent="0.3">
      <c r="P913" s="5"/>
    </row>
    <row r="914" spans="16:16" x14ac:dyDescent="0.3">
      <c r="P914" s="5"/>
    </row>
    <row r="916" spans="16:16" x14ac:dyDescent="0.3">
      <c r="P916" s="5"/>
    </row>
    <row r="917" spans="16:16" x14ac:dyDescent="0.3">
      <c r="P917" s="5"/>
    </row>
    <row r="918" spans="16:16" x14ac:dyDescent="0.3">
      <c r="P918" s="5"/>
    </row>
    <row r="919" spans="16:16" x14ac:dyDescent="0.3">
      <c r="P919" s="5"/>
    </row>
    <row r="920" spans="16:16" x14ac:dyDescent="0.3">
      <c r="P920" s="5"/>
    </row>
    <row r="921" spans="16:16" x14ac:dyDescent="0.3">
      <c r="P921" s="5"/>
    </row>
    <row r="922" spans="16:16" x14ac:dyDescent="0.3">
      <c r="P922" s="5"/>
    </row>
    <row r="923" spans="16:16" x14ac:dyDescent="0.3">
      <c r="P923" s="5"/>
    </row>
    <row r="924" spans="16:16" x14ac:dyDescent="0.3">
      <c r="P924" s="5"/>
    </row>
    <row r="925" spans="16:16" x14ac:dyDescent="0.3">
      <c r="P925" s="5"/>
    </row>
    <row r="926" spans="16:16" x14ac:dyDescent="0.3">
      <c r="P926" s="5"/>
    </row>
    <row r="927" spans="16:16" x14ac:dyDescent="0.3">
      <c r="P927" s="5"/>
    </row>
    <row r="928" spans="16:16" x14ac:dyDescent="0.3">
      <c r="P928" s="5"/>
    </row>
    <row r="929" spans="16:16" x14ac:dyDescent="0.3">
      <c r="P929" s="5"/>
    </row>
    <row r="930" spans="16:16" x14ac:dyDescent="0.3">
      <c r="P930" s="5"/>
    </row>
    <row r="931" spans="16:16" x14ac:dyDescent="0.3">
      <c r="P931" s="5"/>
    </row>
    <row r="932" spans="16:16" x14ac:dyDescent="0.3">
      <c r="P932" s="5"/>
    </row>
    <row r="933" spans="16:16" x14ac:dyDescent="0.3">
      <c r="P933" s="5"/>
    </row>
    <row r="934" spans="16:16" x14ac:dyDescent="0.3">
      <c r="P934" s="5"/>
    </row>
    <row r="935" spans="16:16" x14ac:dyDescent="0.3">
      <c r="P935" s="5"/>
    </row>
    <row r="936" spans="16:16" x14ac:dyDescent="0.3">
      <c r="P936" s="5"/>
    </row>
    <row r="937" spans="16:16" x14ac:dyDescent="0.3">
      <c r="P937" s="5"/>
    </row>
    <row r="938" spans="16:16" x14ac:dyDescent="0.3">
      <c r="P938" s="5"/>
    </row>
    <row r="939" spans="16:16" x14ac:dyDescent="0.3">
      <c r="P939" s="5"/>
    </row>
    <row r="940" spans="16:16" x14ac:dyDescent="0.3">
      <c r="P940" s="5"/>
    </row>
    <row r="941" spans="16:16" x14ac:dyDescent="0.3">
      <c r="P941" s="5"/>
    </row>
    <row r="942" spans="16:16" x14ac:dyDescent="0.3">
      <c r="P942" s="5"/>
    </row>
    <row r="943" spans="16:16" x14ac:dyDescent="0.3">
      <c r="P943" s="5"/>
    </row>
    <row r="944" spans="16:16" x14ac:dyDescent="0.3">
      <c r="P944" s="5"/>
    </row>
    <row r="945" spans="16:16" x14ac:dyDescent="0.3">
      <c r="P945" s="5"/>
    </row>
    <row r="947" spans="16:16" x14ac:dyDescent="0.3">
      <c r="P947" s="5"/>
    </row>
    <row r="948" spans="16:16" x14ac:dyDescent="0.3">
      <c r="P948" s="5"/>
    </row>
    <row r="949" spans="16:16" x14ac:dyDescent="0.3">
      <c r="P949" s="5"/>
    </row>
    <row r="950" spans="16:16" x14ac:dyDescent="0.3">
      <c r="P950" s="5"/>
    </row>
    <row r="951" spans="16:16" x14ac:dyDescent="0.3">
      <c r="P951" s="5"/>
    </row>
    <row r="952" spans="16:16" x14ac:dyDescent="0.3">
      <c r="P952" s="5"/>
    </row>
    <row r="953" spans="16:16" x14ac:dyDescent="0.3">
      <c r="P953" s="5"/>
    </row>
    <row r="954" spans="16:16" x14ac:dyDescent="0.3">
      <c r="P954" s="5"/>
    </row>
    <row r="955" spans="16:16" x14ac:dyDescent="0.3">
      <c r="P955" s="5"/>
    </row>
    <row r="956" spans="16:16" x14ac:dyDescent="0.3">
      <c r="P956" s="5"/>
    </row>
    <row r="957" spans="16:16" x14ac:dyDescent="0.3">
      <c r="P957" s="5"/>
    </row>
    <row r="958" spans="16:16" x14ac:dyDescent="0.3">
      <c r="P958" s="5"/>
    </row>
    <row r="959" spans="16:16" x14ac:dyDescent="0.3">
      <c r="P959" s="5"/>
    </row>
    <row r="961" spans="16:16" x14ac:dyDescent="0.3">
      <c r="P961" s="5"/>
    </row>
    <row r="962" spans="16:16" x14ac:dyDescent="0.3">
      <c r="P962" s="5"/>
    </row>
    <row r="963" spans="16:16" x14ac:dyDescent="0.3">
      <c r="P963" s="5"/>
    </row>
    <row r="964" spans="16:16" x14ac:dyDescent="0.3">
      <c r="P964" s="5"/>
    </row>
    <row r="965" spans="16:16" x14ac:dyDescent="0.3">
      <c r="P965" s="5"/>
    </row>
    <row r="966" spans="16:16" x14ac:dyDescent="0.3">
      <c r="P966" s="5"/>
    </row>
    <row r="967" spans="16:16" x14ac:dyDescent="0.3">
      <c r="P967" s="5"/>
    </row>
    <row r="968" spans="16:16" x14ac:dyDescent="0.3">
      <c r="P968" s="5"/>
    </row>
    <row r="969" spans="16:16" x14ac:dyDescent="0.3">
      <c r="P969" s="5"/>
    </row>
    <row r="970" spans="16:16" x14ac:dyDescent="0.3">
      <c r="P970" s="5"/>
    </row>
    <row r="971" spans="16:16" x14ac:dyDescent="0.3">
      <c r="P971" s="5"/>
    </row>
    <row r="972" spans="16:16" x14ac:dyDescent="0.3">
      <c r="P972" s="5"/>
    </row>
    <row r="973" spans="16:16" x14ac:dyDescent="0.3">
      <c r="P973" s="5"/>
    </row>
    <row r="974" spans="16:16" x14ac:dyDescent="0.3">
      <c r="P974" s="5"/>
    </row>
    <row r="975" spans="16:16" x14ac:dyDescent="0.3">
      <c r="P975" s="5"/>
    </row>
    <row r="976" spans="16:16" x14ac:dyDescent="0.3">
      <c r="P976" s="5"/>
    </row>
    <row r="977" spans="16:16" x14ac:dyDescent="0.3">
      <c r="P977" s="5"/>
    </row>
    <row r="978" spans="16:16" x14ac:dyDescent="0.3">
      <c r="P978" s="5"/>
    </row>
    <row r="979" spans="16:16" x14ac:dyDescent="0.3">
      <c r="P979" s="5"/>
    </row>
    <row r="980" spans="16:16" x14ac:dyDescent="0.3">
      <c r="P980" s="5"/>
    </row>
    <row r="981" spans="16:16" x14ac:dyDescent="0.3">
      <c r="P981" s="5"/>
    </row>
    <row r="982" spans="16:16" x14ac:dyDescent="0.3">
      <c r="P982" s="5"/>
    </row>
    <row r="983" spans="16:16" x14ac:dyDescent="0.3">
      <c r="P983" s="5"/>
    </row>
    <row r="984" spans="16:16" x14ac:dyDescent="0.3">
      <c r="P984" s="5"/>
    </row>
    <row r="985" spans="16:16" x14ac:dyDescent="0.3">
      <c r="P985" s="5"/>
    </row>
    <row r="986" spans="16:16" x14ac:dyDescent="0.3">
      <c r="P986" s="5"/>
    </row>
    <row r="987" spans="16:16" x14ac:dyDescent="0.3">
      <c r="P987" s="5"/>
    </row>
    <row r="989" spans="16:16" x14ac:dyDescent="0.3">
      <c r="P989" s="5"/>
    </row>
    <row r="990" spans="16:16" x14ac:dyDescent="0.3">
      <c r="P990" s="5"/>
    </row>
    <row r="991" spans="16:16" x14ac:dyDescent="0.3">
      <c r="P991" s="5"/>
    </row>
    <row r="992" spans="16:16" x14ac:dyDescent="0.3">
      <c r="P992" s="5"/>
    </row>
    <row r="993" spans="16:16" x14ac:dyDescent="0.3">
      <c r="P993" s="5"/>
    </row>
    <row r="994" spans="16:16" x14ac:dyDescent="0.3">
      <c r="P994" s="5"/>
    </row>
    <row r="996" spans="16:16" x14ac:dyDescent="0.3">
      <c r="P996" s="5"/>
    </row>
    <row r="999" spans="16:16" x14ac:dyDescent="0.3">
      <c r="P999" s="5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71DD-4D5E-4E57-BAB0-7FB5754F0B1E}">
  <dimension ref="A1:A8"/>
  <sheetViews>
    <sheetView workbookViewId="0">
      <selection activeCell="A7" sqref="A7"/>
    </sheetView>
  </sheetViews>
  <sheetFormatPr defaultRowHeight="14.4" x14ac:dyDescent="0.3"/>
  <sheetData>
    <row r="1" spans="1:1" x14ac:dyDescent="0.3">
      <c r="A1" s="14" t="s">
        <v>156</v>
      </c>
    </row>
    <row r="2" spans="1:1" x14ac:dyDescent="0.3">
      <c r="A2" s="14" t="s">
        <v>157</v>
      </c>
    </row>
    <row r="3" spans="1:1" x14ac:dyDescent="0.3">
      <c r="A3" s="14" t="s">
        <v>158</v>
      </c>
    </row>
    <row r="4" spans="1:1" x14ac:dyDescent="0.3">
      <c r="A4" s="14" t="s">
        <v>159</v>
      </c>
    </row>
    <row r="5" spans="1:1" x14ac:dyDescent="0.3">
      <c r="A5" s="14" t="s">
        <v>160</v>
      </c>
    </row>
    <row r="6" spans="1:1" x14ac:dyDescent="0.3">
      <c r="A6" s="14" t="s">
        <v>161</v>
      </c>
    </row>
    <row r="7" spans="1:1" x14ac:dyDescent="0.3">
      <c r="A7" t="s">
        <v>152</v>
      </c>
    </row>
    <row r="8" spans="1:1" x14ac:dyDescent="0.3">
      <c r="A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Aggregate Functions</vt:lpstr>
      <vt:lpstr>Text Functions</vt:lpstr>
      <vt:lpstr>Sorting and Filtering</vt:lpstr>
      <vt:lpstr>Logical Operators</vt:lpstr>
      <vt:lpstr>Conditional Formatting</vt:lpstr>
      <vt:lpstr>Vlookup</vt:lpstr>
      <vt:lpstr>Sheet1</vt:lpstr>
      <vt:lpstr>Vlookup2</vt:lpstr>
      <vt:lpstr>hlookup</vt:lpstr>
      <vt:lpstr>Hlookup2</vt:lpstr>
      <vt:lpstr>Xlookup</vt:lpstr>
      <vt:lpstr>Xlookup_cross</vt:lpstr>
      <vt:lpstr>Sumif Countif Averageif</vt:lpstr>
      <vt:lpstr>Q1 PIVOT SHEET</vt:lpstr>
      <vt:lpstr>Q2 PIVOT SHEET</vt:lpstr>
      <vt:lpstr>Q4 PIVOT SHEET</vt:lpstr>
      <vt:lpstr>Q5</vt:lpstr>
      <vt:lpstr>Q6</vt:lpstr>
      <vt:lpstr>Q7</vt:lpstr>
      <vt:lpstr>Q8</vt:lpstr>
      <vt:lpstr>Pivot Data</vt:lpstr>
      <vt:lpstr>Pivot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thakkar</dc:creator>
  <cp:lastModifiedBy>Aditya Raj</cp:lastModifiedBy>
  <dcterms:created xsi:type="dcterms:W3CDTF">2015-06-05T18:17:20Z</dcterms:created>
  <dcterms:modified xsi:type="dcterms:W3CDTF">2026-03-22T15:40:45Z</dcterms:modified>
</cp:coreProperties>
</file>