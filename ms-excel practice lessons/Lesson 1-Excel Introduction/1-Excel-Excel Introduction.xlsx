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ms-excel practice lessons/Lesson 1-Excel Introduction/"/>
    </mc:Choice>
  </mc:AlternateContent>
  <xr:revisionPtr revIDLastSave="107" documentId="13_ncr:1_{8F88FC9A-57B4-41AE-907D-91D3EC934A8C}" xr6:coauthVersionLast="47" xr6:coauthVersionMax="47" xr10:uidLastSave="{A8571CCA-3B4C-4DA2-BACF-736D66F94F14}"/>
  <bookViews>
    <workbookView xWindow="732" yWindow="576" windowWidth="22068" windowHeight="13104" xr2:uid="{9EF739C8-C265-45C4-8446-9A7499872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 a="1"/>
  <c r="L3" i="1"/>
  <c r="L4" i="1" a="1"/>
  <c r="L4" i="1"/>
  <c r="L5" i="1" a="1"/>
  <c r="L5" i="1"/>
  <c r="L6" i="1" a="1"/>
  <c r="L6" i="1"/>
  <c r="L2" i="1" a="1"/>
  <c r="L2" i="1" s="1"/>
  <c r="K3" i="1"/>
  <c r="K4" i="1"/>
  <c r="K5" i="1"/>
  <c r="K6" i="1"/>
  <c r="K2" i="1"/>
  <c r="C9" i="1"/>
  <c r="J3" i="1"/>
  <c r="I3" i="1"/>
  <c r="H3" i="1"/>
  <c r="H4" i="1"/>
  <c r="H5" i="1"/>
  <c r="H6" i="1"/>
  <c r="H2" i="1"/>
  <c r="G3" i="1"/>
  <c r="G4" i="1"/>
  <c r="G5" i="1"/>
  <c r="G6" i="1"/>
  <c r="G2" i="1"/>
  <c r="E8" i="1"/>
  <c r="D8" i="1"/>
  <c r="C8" i="1"/>
  <c r="F2" i="1"/>
  <c r="I2" i="1" s="1"/>
  <c r="J2" i="1" s="1"/>
  <c r="F5" i="1"/>
  <c r="I5" i="1" s="1"/>
  <c r="J5" i="1" s="1"/>
  <c r="F6" i="1"/>
  <c r="I6" i="1" s="1"/>
  <c r="J6" i="1" s="1"/>
  <c r="F3" i="1"/>
  <c r="F4" i="1"/>
  <c r="I4" i="1" s="1"/>
  <c r="J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<sst xmlns="http://schemas.openxmlformats.org/spreadsheetml/2006/main" count="19" uniqueCount="19">
  <si>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Sr No.</t>
  </si>
  <si>
    <t>Name of Student</t>
  </si>
  <si>
    <t>A</t>
  </si>
  <si>
    <t>B</t>
  </si>
  <si>
    <t>C</t>
  </si>
  <si>
    <t>D</t>
  </si>
  <si>
    <t>E</t>
  </si>
  <si>
    <t>Sub1</t>
  </si>
  <si>
    <t>Sub2</t>
  </si>
  <si>
    <t>Sub3</t>
  </si>
  <si>
    <t>Total</t>
  </si>
  <si>
    <t>Max</t>
  </si>
  <si>
    <t>Min</t>
  </si>
  <si>
    <t>%age</t>
  </si>
  <si>
    <t>Class Avg Marks subject wise</t>
  </si>
  <si>
    <t>Result</t>
  </si>
  <si>
    <t xml:space="preserve">Total students are </t>
  </si>
  <si>
    <t>Result on Sub Basis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</si>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</sst>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5" borderId="1" applyNumberFormat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5" borderId="1" xfId="1" applyAlignment="1">
      <alignment horizontal="right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2E9C-3943-417D-88BC-C17300A72298}">
  <dimension ref="A1:L13"/>
  <sheetViews>
    <sheetView tabSelected="1" zoomScale="210" zoomScaleNormal="210" workbookViewId="0">
      <selection activeCell="K8" sqref="K8"/>
    </sheetView>
  </sheetViews>
  <sheetFormatPr defaultRowHeight="14.4" x14ac:dyDescent="0.3"/>
  <cols>
    <col min="1" max="1" width="5.88671875" bestFit="1" customWidth="1"/>
    <col min="2" max="2" width="18.21875" customWidth="1"/>
    <col min="3" max="5" width="5" bestFit="1" customWidth="1"/>
    <col min="6" max="6" width="4.88671875" bestFit="1" customWidth="1"/>
    <col min="7" max="7" width="0" hidden="1" customWidth="1"/>
    <col min="8" max="8" width="0" style="2" hidden="1" customWidth="1"/>
    <col min="9" max="9" width="5.5546875" bestFit="1" customWidth="1"/>
    <col min="11" max="11" width="16.88671875" style="2" bestFit="1" customWidth="1"/>
  </cols>
  <sheetData>
    <row r="1" spans="1:12" x14ac:dyDescent="0.3">
      <c r="A1" s="4" t="s">
        <v>0</v>
      </c>
      <c r="B1" s="4" t="s">
        <v>1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15</v>
      </c>
      <c r="K1" s="4" t="s">
        <v>17</v>
      </c>
      <c r="L1" s="4" t="s">
        <v>18</v>
      </c>
    </row>
    <row r="2" spans="1:12" x14ac:dyDescent="0.3">
      <c r="A2" s="2">
        <v>1</v>
      </c>
      <c r="B2" s="2" t="s">
        <v>2</v>
      </c>
      <c r="C2" s="2">
        <v>86</v>
      </c>
      <c r="D2" s="2">
        <v>82</v>
      </c>
      <c r="E2" s="2">
        <v>38</v>
      </c>
      <c r="F2" s="2">
        <f>SUM(C2:E2)</f>
        <v>206</v>
      </c>
      <c r="G2" s="2">
        <f>MAX(C2:E2)</f>
        <v>86</v>
      </c>
      <c r="H2" s="2">
        <f>MIN(C2:E2)</f>
        <v>38</v>
      </c>
      <c r="I2" s="6">
        <f>F2/300*100</f>
        <v>68.666666666666671</v>
      </c>
      <c r="J2" s="2" t="str">
        <f>IF(I2&gt;35,"Pass","Fail")</f>
        <v>Pass</v>
      </c>
      <c r="K2" s="2" t="str">
        <f>IF(AND(C2&gt;=35,D2&gt;=35,E2&gt;=35),"PASS","FAIL")</f>
        <v>PASS</v>
      </c>
      <c r="L2" t="str" cm="1">
        <f t="array" ref="L2">_xlfn.IFS(J2="Fail","F",AND(J2="Pass",I2&gt;=90),"A++",AND(J2="Pass",I2&gt;=75),"A+",AND(J2="Pass",I2&gt;=60),"A",AND(J2="Pass",I2&gt;=45),"B",AND(J2="Pass",I2&gt;=35),"C")</f>
        <v>A</v>
      </c>
    </row>
    <row r="3" spans="1:12" x14ac:dyDescent="0.3">
      <c r="A3" s="2">
        <v>2</v>
      </c>
      <c r="B3" s="2" t="s">
        <v>3</v>
      </c>
      <c r="C3" s="2">
        <v>36</v>
      </c>
      <c r="D3" s="2">
        <v>42</v>
      </c>
      <c r="E3" s="2">
        <v>20</v>
      </c>
      <c r="F3" s="2">
        <f t="shared" ref="F3:F4" si="0">SUM(C3:E3)</f>
        <v>98</v>
      </c>
      <c r="G3" s="2">
        <f t="shared" ref="G3:G6" si="1">MAX(C3:E3)</f>
        <v>42</v>
      </c>
      <c r="H3" s="2">
        <f t="shared" ref="H3:H6" si="2">MIN(C3:E3)</f>
        <v>20</v>
      </c>
      <c r="I3" s="6">
        <f t="shared" ref="I3:I6" si="3">F3/300*100</f>
        <v>32.666666666666664</v>
      </c>
      <c r="J3" s="2" t="str">
        <f t="shared" ref="J3:J6" si="4">IF(I3&gt;35,"Pass","Fail")</f>
        <v>Fail</v>
      </c>
      <c r="K3" s="2" t="str">
        <f t="shared" ref="K3:K6" si="5">IF(AND(C3&gt;=35,D3&gt;=35,E3&gt;=35),"PASS","FAIL")</f>
        <v>FAIL</v>
      </c>
      <c r="L3" t="str" cm="1">
        <f t="array" ref="L3">_xlfn.IFS(J3="Fail","F",AND(J3="Pass",I3&gt;=90),"A++",AND(J3="Pass",I3&gt;=75),"A+",AND(J3="Pass",I3&gt;=60),"A",AND(J3="Pass",I3&gt;=45),"B",AND(J3="Pass",I3&gt;=35),"C")</f>
        <v>F</v>
      </c>
    </row>
    <row r="4" spans="1:12" x14ac:dyDescent="0.3">
      <c r="A4" s="2">
        <v>3</v>
      </c>
      <c r="B4" s="2" t="s">
        <v>4</v>
      </c>
      <c r="C4" s="2">
        <v>70</v>
      </c>
      <c r="D4" s="2">
        <v>90</v>
      </c>
      <c r="E4" s="2">
        <v>80</v>
      </c>
      <c r="F4" s="2">
        <f t="shared" si="0"/>
        <v>240</v>
      </c>
      <c r="G4" s="2">
        <f t="shared" si="1"/>
        <v>90</v>
      </c>
      <c r="H4" s="2">
        <f t="shared" si="2"/>
        <v>70</v>
      </c>
      <c r="I4" s="6">
        <f t="shared" si="3"/>
        <v>80</v>
      </c>
      <c r="J4" s="2" t="str">
        <f t="shared" si="4"/>
        <v>Pass</v>
      </c>
      <c r="K4" s="2" t="str">
        <f t="shared" si="5"/>
        <v>PASS</v>
      </c>
      <c r="L4" t="str" cm="1">
        <f t="array" ref="L4">_xlfn.IFS(J4="Fail","F",AND(J4="Pass",I4&gt;=90),"A++",AND(J4="Pass",I4&gt;=75),"A+",AND(J4="Pass",I4&gt;=60),"A",AND(J4="Pass",I4&gt;=45),"B",AND(J4="Pass",I4&gt;=35),"C")</f>
        <v>A+</v>
      </c>
    </row>
    <row r="5" spans="1:12" x14ac:dyDescent="0.3">
      <c r="A5" s="2">
        <v>4</v>
      </c>
      <c r="B5" s="2" t="s">
        <v>5</v>
      </c>
      <c r="C5" s="2">
        <v>60</v>
      </c>
      <c r="D5" s="2">
        <v>55</v>
      </c>
      <c r="E5" s="2">
        <v>73</v>
      </c>
      <c r="F5" s="2">
        <f>SUM(C5:E5)</f>
        <v>188</v>
      </c>
      <c r="G5" s="2">
        <f t="shared" si="1"/>
        <v>73</v>
      </c>
      <c r="H5" s="2">
        <f t="shared" si="2"/>
        <v>55</v>
      </c>
      <c r="I5" s="6">
        <f t="shared" si="3"/>
        <v>62.666666666666671</v>
      </c>
      <c r="J5" s="2" t="str">
        <f t="shared" si="4"/>
        <v>Pass</v>
      </c>
      <c r="K5" s="2" t="str">
        <f t="shared" si="5"/>
        <v>PASS</v>
      </c>
      <c r="L5" t="str" cm="1">
        <f t="array" ref="L5">_xlfn.IFS(J5="Fail","F",AND(J5="Pass",I5&gt;=90),"A++",AND(J5="Pass",I5&gt;=75),"A+",AND(J5="Pass",I5&gt;=60),"A",AND(J5="Pass",I5&gt;=45),"B",AND(J5="Pass",I5&gt;=35),"C")</f>
        <v>A</v>
      </c>
    </row>
    <row r="6" spans="1:12" x14ac:dyDescent="0.3">
      <c r="A6" s="2">
        <v>5</v>
      </c>
      <c r="B6" s="5" t="s">
        <v>6</v>
      </c>
      <c r="C6" s="2">
        <v>80</v>
      </c>
      <c r="D6" s="2">
        <v>88</v>
      </c>
      <c r="E6" s="2">
        <v>87</v>
      </c>
      <c r="F6" s="2">
        <f>SUM(C6:E6)</f>
        <v>255</v>
      </c>
      <c r="G6" s="2">
        <f t="shared" si="1"/>
        <v>88</v>
      </c>
      <c r="H6" s="2">
        <f t="shared" si="2"/>
        <v>80</v>
      </c>
      <c r="I6" s="6">
        <f t="shared" si="3"/>
        <v>85</v>
      </c>
      <c r="J6" s="2" t="str">
        <f t="shared" si="4"/>
        <v>Pass</v>
      </c>
      <c r="K6" s="2" t="str">
        <f t="shared" si="5"/>
        <v>PASS</v>
      </c>
      <c r="L6" t="str" cm="1">
        <f t="array" ref="L6">_xlfn.IFS(J6="Fail","F",AND(J6="Pass",I6&gt;=90),"A++",AND(J6="Pass",I6&gt;=75),"A+",AND(J6="Pass",I6&gt;=60),"A",AND(J6="Pass",I6&gt;=45),"B",AND(J6="Pass",I6&gt;=35),"C")</f>
        <v>A+</v>
      </c>
    </row>
    <row r="7" spans="1:12" hidden="1" x14ac:dyDescent="0.3">
      <c r="B7" s="2"/>
      <c r="C7" s="2"/>
      <c r="D7" s="2"/>
      <c r="E7" s="2"/>
    </row>
    <row r="8" spans="1:12" ht="14.4" customHeight="1" thickBot="1" x14ac:dyDescent="0.35">
      <c r="A8" s="7" t="s">
        <v>14</v>
      </c>
      <c r="B8" s="7"/>
      <c r="C8" s="3">
        <f>AVERAGE(C2:C6)</f>
        <v>66.400000000000006</v>
      </c>
      <c r="D8" s="3">
        <f>AVERAGE(D2:D6)</f>
        <v>71.400000000000006</v>
      </c>
      <c r="E8" s="3">
        <f>AVERAGE(E2:E6)</f>
        <v>59.6</v>
      </c>
    </row>
    <row r="9" spans="1:12" ht="15.6" thickTop="1" thickBot="1" x14ac:dyDescent="0.35">
      <c r="A9" s="8" t="s">
        <v>16</v>
      </c>
      <c r="B9" s="8"/>
      <c r="C9" s="9">
        <f>COUNTA(B2:B6)</f>
        <v>5</v>
      </c>
      <c r="D9" s="1"/>
      <c r="E9" s="1"/>
      <c r="F9" s="1"/>
      <c r="G9" s="1"/>
      <c r="I9" s="1"/>
    </row>
    <row r="10" spans="1:12" ht="15" thickTop="1" x14ac:dyDescent="0.3">
      <c r="C10" s="1"/>
      <c r="D10" s="1"/>
      <c r="E10" s="1"/>
      <c r="G10" s="1">
        <v>81</v>
      </c>
    </row>
    <row r="11" spans="1:12" x14ac:dyDescent="0.3">
      <c r="C11" s="1"/>
      <c r="D11" s="1"/>
      <c r="E11" s="1"/>
    </row>
    <row r="12" spans="1:12" x14ac:dyDescent="0.3">
      <c r="C12" s="1"/>
      <c r="D12" s="1"/>
      <c r="E12" s="1"/>
    </row>
    <row r="13" spans="1:12" x14ac:dyDescent="0.3">
      <c r="C13" s="1"/>
      <c r="D13" s="1"/>
      <c r="E13" s="1"/>
    </row>
  </sheetData>
  <mergeCells count="2"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Aditya Raj</cp:lastModifiedBy>
  <dcterms:created xsi:type="dcterms:W3CDTF">2026-04-30T05:33:03Z</dcterms:created>
  <dcterms:modified xsi:type="dcterms:W3CDTF">2026-09-21T15:16:57Z</dcterms:modified>
</cp:coreProperties>
</file>